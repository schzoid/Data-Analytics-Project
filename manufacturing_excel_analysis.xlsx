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Data Analytics Project\"/>
    </mc:Choice>
  </mc:AlternateContent>
  <xr:revisionPtr revIDLastSave="0" documentId="13_ncr:1_{D0C9586E-E83E-46B1-B893-EB301218943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roduction Data" sheetId="1" r:id="rId1"/>
    <sheet name="Line Analysis" sheetId="2" r:id="rId2"/>
    <sheet name="Pivot Analysis" sheetId="3" r:id="rId3"/>
    <sheet name="Product Info" sheetId="4" r:id="rId4"/>
    <sheet name="Product Analysis" sheetId="5" r:id="rId5"/>
  </sheet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5" l="1"/>
  <c r="G4" i="5"/>
  <c r="G5" i="5"/>
  <c r="G2" i="5"/>
  <c r="F3" i="5"/>
  <c r="F4" i="5"/>
  <c r="F5" i="5"/>
  <c r="F2" i="5"/>
  <c r="E3" i="5"/>
  <c r="E4" i="5"/>
  <c r="E5" i="5"/>
  <c r="E2" i="5"/>
  <c r="D3" i="5"/>
  <c r="D4" i="5"/>
  <c r="D5" i="5"/>
  <c r="D2" i="5"/>
  <c r="C3" i="5"/>
  <c r="C4" i="5"/>
  <c r="C5" i="5"/>
  <c r="C2" i="5"/>
  <c r="B3" i="5"/>
  <c r="B4" i="5"/>
  <c r="B5" i="5"/>
  <c r="B2" i="5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O5" i="1"/>
  <c r="O4" i="1"/>
  <c r="O3" i="1"/>
  <c r="O2" i="1"/>
  <c r="D3" i="2"/>
  <c r="D4" i="2"/>
  <c r="D2" i="2"/>
  <c r="C3" i="2"/>
  <c r="C4" i="2"/>
  <c r="C2" i="2"/>
  <c r="B3" i="2"/>
  <c r="B4" i="2"/>
  <c r="B2" i="2"/>
  <c r="E2" i="2" l="1"/>
  <c r="E4" i="2"/>
  <c r="E3" i="2"/>
</calcChain>
</file>

<file path=xl/sharedStrings.xml><?xml version="1.0" encoding="utf-8"?>
<sst xmlns="http://schemas.openxmlformats.org/spreadsheetml/2006/main" count="4887" uniqueCount="42">
  <si>
    <t>Line</t>
  </si>
  <si>
    <t>Shift</t>
  </si>
  <si>
    <t>Product</t>
  </si>
  <si>
    <t>Produced_Units</t>
  </si>
  <si>
    <t>Defect_Count</t>
  </si>
  <si>
    <t>Downtime_Minutes</t>
  </si>
  <si>
    <t>Good_Units</t>
  </si>
  <si>
    <t>Defect_Rate</t>
  </si>
  <si>
    <t>Production_Efficiency</t>
  </si>
  <si>
    <t>Line A</t>
  </si>
  <si>
    <t>Morning</t>
  </si>
  <si>
    <t>P-102</t>
  </si>
  <si>
    <t>Evening</t>
  </si>
  <si>
    <t>Night</t>
  </si>
  <si>
    <t>P-104</t>
  </si>
  <si>
    <t>Line B</t>
  </si>
  <si>
    <t>P-101</t>
  </si>
  <si>
    <t>Line C</t>
  </si>
  <si>
    <t>P-103</t>
  </si>
  <si>
    <t>Column1</t>
  </si>
  <si>
    <t>Production Line</t>
  </si>
  <si>
    <t>Total Production</t>
  </si>
  <si>
    <t>Total Defects</t>
  </si>
  <si>
    <t>Total Downtime</t>
  </si>
  <si>
    <t>Defect Rate</t>
  </si>
  <si>
    <t>Row Labels</t>
  </si>
  <si>
    <t>Grand Total</t>
  </si>
  <si>
    <t>Sum of Produced_Units</t>
  </si>
  <si>
    <t>Column Labels</t>
  </si>
  <si>
    <t>Product Name</t>
  </si>
  <si>
    <t>Category</t>
  </si>
  <si>
    <t>Target_Units</t>
  </si>
  <si>
    <t>Standart Component</t>
  </si>
  <si>
    <t>Precision Component</t>
  </si>
  <si>
    <t>Mechanical Assembly</t>
  </si>
  <si>
    <t>Complex Assembly</t>
  </si>
  <si>
    <t>Standard</t>
  </si>
  <si>
    <t>Precision</t>
  </si>
  <si>
    <t>Assembly</t>
  </si>
  <si>
    <t>Product ID</t>
  </si>
  <si>
    <t>Production Records</t>
  </si>
  <si>
    <t>Night Shift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</si>
</sst>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65" fontId="0" fillId="0" borderId="0" xfId="0" applyNumberFormat="1"/>
    <xf numFmtId="0" fontId="0" fillId="2" borderId="0" xfId="0" applyFill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3" borderId="0" xfId="0" applyFont="1" applyFill="1"/>
    <xf numFmtId="10" fontId="2" fillId="3" borderId="0" xfId="1" applyNumberFormat="1" applyFont="1" applyFill="1"/>
  </cellXfs>
  <cellStyles count="2">
    <cellStyle name="Normal" xfId="0" builtinId="0"/>
    <cellStyle name="Percent" xfId="1" builtinId="5"/>
  </cellStyles>
  <dxfs count="5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rgb="FF00B0F0"/>
        </patternFill>
      </fill>
    </dxf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[manufacturing_excel_analysis.xlsx]Pivot Analysis!PivotTable2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Analysis'!$B$3:$B$4</c:f>
              <c:strCache>
                <c:ptCount val="1"/>
                <c:pt idx="0">
                  <c:v>P-101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Analysis'!$A$5:$A$8</c:f>
              <c:strCache>
                <c:ptCount val="3"/>
                <c:pt idx="0">
                  <c:v>Morning</c:v>
                </c:pt>
                <c:pt idx="1">
                  <c:v>Evening</c:v>
                </c:pt>
                <c:pt idx="2">
                  <c:v>Night</c:v>
                </c:pt>
              </c:strCache>
            </c:strRef>
          </c:cat>
          <c:val>
            <c:numRef>
              <c:f>'Pivot Analysis'!$B$5:$B$8</c:f>
              <c:numCache>
                <c:formatCode>General</c:formatCode>
                <c:ptCount val="3"/>
                <c:pt idx="0">
                  <c:v>139545</c:v>
                </c:pt>
                <c:pt idx="1">
                  <c:v>109138</c:v>
                </c:pt>
                <c:pt idx="2">
                  <c:v>106044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4-48F5-814F-FDB640D3E3D3}"/>
            </c:ext>
          </c:extLst>
        </c:ser>
        <c:ser>
          <c:idx val="1"/>
          <c:order val="1"/>
          <c:tx>
            <c:strRef>
              <c:f>'Pivot Analysis'!$C$3:$C$4</c:f>
              <c:strCache>
                <c:ptCount val="1"/>
                <c:pt idx="0">
                  <c:v>P-102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Analysis'!$A$5:$A$8</c:f>
              <c:strCache>
                <c:ptCount val="3"/>
                <c:pt idx="0">
                  <c:v>Morning</c:v>
                </c:pt>
                <c:pt idx="1">
                  <c:v>Evening</c:v>
                </c:pt>
                <c:pt idx="2">
                  <c:v>Night</c:v>
                </c:pt>
              </c:strCache>
            </c:strRef>
          </c:cat>
          <c:val>
            <c:numRef>
              <c:f>'Pivot Analysis'!$C$5:$C$8</c:f>
              <c:numCache>
                <c:formatCode>General</c:formatCode>
                <c:ptCount val="3"/>
                <c:pt idx="0">
                  <c:v>122869</c:v>
                </c:pt>
                <c:pt idx="1">
                  <c:v>105348</c:v>
                </c:pt>
                <c:pt idx="2">
                  <c:v>113927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B4-48F5-814F-FDB640D3E3D3}"/>
            </c:ext>
          </c:extLst>
        </c:ser>
        <c:ser>
          <c:idx val="2"/>
          <c:order val="2"/>
          <c:tx>
            <c:strRef>
              <c:f>'Pivot Analysis'!$D$3:$D$4</c:f>
              <c:strCache>
                <c:ptCount val="1"/>
                <c:pt idx="0">
                  <c:v>P-103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Analysis'!$A$5:$A$8</c:f>
              <c:strCache>
                <c:ptCount val="3"/>
                <c:pt idx="0">
                  <c:v>Morning</c:v>
                </c:pt>
                <c:pt idx="1">
                  <c:v>Evening</c:v>
                </c:pt>
                <c:pt idx="2">
                  <c:v>Night</c:v>
                </c:pt>
              </c:strCache>
            </c:strRef>
          </c:cat>
          <c:val>
            <c:numRef>
              <c:f>'Pivot Analysis'!$D$5:$D$8</c:f>
              <c:numCache>
                <c:formatCode>General</c:formatCode>
                <c:ptCount val="3"/>
                <c:pt idx="0">
                  <c:v>104075</c:v>
                </c:pt>
                <c:pt idx="1">
                  <c:v>111905</c:v>
                </c:pt>
                <c:pt idx="2">
                  <c:v>93891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B4-48F5-814F-FDB640D3E3D3}"/>
            </c:ext>
          </c:extLst>
        </c:ser>
        <c:ser>
          <c:idx val="3"/>
          <c:order val="3"/>
          <c:tx>
            <c:strRef>
              <c:f>'Pivot Analysis'!$E$3:$E$4</c:f>
              <c:strCache>
                <c:ptCount val="1"/>
                <c:pt idx="0">
                  <c:v>P-104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Analysis'!$A$5:$A$8</c:f>
              <c:strCache>
                <c:ptCount val="3"/>
                <c:pt idx="0">
                  <c:v>Morning</c:v>
                </c:pt>
                <c:pt idx="1">
                  <c:v>Evening</c:v>
                </c:pt>
                <c:pt idx="2">
                  <c:v>Night</c:v>
                </c:pt>
              </c:strCache>
            </c:strRef>
          </c:cat>
          <c:val>
            <c:numRef>
              <c:f>'Pivot Analysis'!$E$5:$E$8</c:f>
              <c:numCache>
                <c:formatCode>General</c:formatCode>
                <c:ptCount val="3"/>
                <c:pt idx="0">
                  <c:v>97115</c:v>
                </c:pt>
                <c:pt idx="1">
                  <c:v>108087</c:v>
                </c:pt>
                <c:pt idx="2">
                  <c:v>88148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B4-48F5-814F-FDB640D3E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353936"/>
        <c:axId val="531355856"/>
      </c:barChart>
      <c:catAx>
        <c:axId val="53135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31355856"/>
        <c:crosses val="autoZero"/>
        <c:auto val="1"/>
        <c:lblAlgn val="ctr"/>
        <c:lblOffset val="100"/>
        <c:noMultiLvlLbl val="0"/>
      </c:catAx>
      <c:valAx>
        <c:axId val="53135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3135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baseline="0"/>
              <a:t>Defect Rate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Analysis'!$C$1</c:f>
              <c:strCache>
                <c:ptCount val="1"/>
                <c:pt idx="0">
                  <c:v>Production Records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'Product Analysis'!$A$2:$B$5</c:f>
              <c:multiLvlStrCache>
                <c:ptCount val="4"/>
                <c:lvl>
                  <c:pt idx="0">
                    <c:v>Standart Component</c:v>
                  </c:pt>
                  <c:pt idx="1">
                    <c:v>Precision Component</c:v>
                  </c:pt>
                  <c:pt idx="2">
                    <c:v>Mechanical Assembly</c:v>
                  </c:pt>
                  <c:pt idx="3">
                    <c:v>Complex Assembly</c:v>
                  </c:pt>
                </c:lvl>
                <c:lvl>
                  <c:pt idx="0">
                    <c:v>P-101</c:v>
                  </c:pt>
                  <c:pt idx="1">
                    <c:v>P-102</c:v>
                  </c:pt>
                  <c:pt idx="2">
                    <c:v>P-103</c:v>
                  </c:pt>
                  <c:pt idx="3">
                    <c:v>P-104</c:v>
                  </c:pt>
                </c:lvl>
              </c:multiLvlStrCache>
            </c:multiLvlStrRef>
          </c:cat>
          <c:val>
            <c:numRef>
              <c:f>'Product Analysis'!$C$2:$C$5</c:f>
              <c:numCache>
                <c:formatCode>General</c:formatCode>
                <c:ptCount val="4"/>
                <c:pt idx="0">
                  <c:v>404</c:v>
                </c:pt>
                <c:pt idx="1">
                  <c:v>413</c:v>
                </c:pt>
                <c:pt idx="2">
                  <c:v>397</c:v>
                </c:pt>
                <c:pt idx="3">
                  <c:v>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1-4797-8896-06D0D69B478E}"/>
            </c:ext>
          </c:extLst>
        </c:ser>
        <c:ser>
          <c:idx val="1"/>
          <c:order val="1"/>
          <c:tx>
            <c:strRef>
              <c:f>'Product Analysis'!$D$1</c:f>
              <c:strCache>
                <c:ptCount val="1"/>
                <c:pt idx="0">
                  <c:v>Night Shift Records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'Product Analysis'!$A$2:$B$5</c:f>
              <c:multiLvlStrCache>
                <c:ptCount val="4"/>
                <c:lvl>
                  <c:pt idx="0">
                    <c:v>Standart Component</c:v>
                  </c:pt>
                  <c:pt idx="1">
                    <c:v>Precision Component</c:v>
                  </c:pt>
                  <c:pt idx="2">
                    <c:v>Mechanical Assembly</c:v>
                  </c:pt>
                  <c:pt idx="3">
                    <c:v>Complex Assembly</c:v>
                  </c:pt>
                </c:lvl>
                <c:lvl>
                  <c:pt idx="0">
                    <c:v>P-101</c:v>
                  </c:pt>
                  <c:pt idx="1">
                    <c:v>P-102</c:v>
                  </c:pt>
                  <c:pt idx="2">
                    <c:v>P-103</c:v>
                  </c:pt>
                  <c:pt idx="3">
                    <c:v>P-104</c:v>
                  </c:pt>
                </c:lvl>
              </c:multiLvlStrCache>
            </c:multiLvlStrRef>
          </c:cat>
          <c:val>
            <c:numRef>
              <c:f>'Product Analysis'!$D$2:$D$5</c:f>
              <c:numCache>
                <c:formatCode>General</c:formatCode>
                <c:ptCount val="4"/>
                <c:pt idx="0">
                  <c:v>131</c:v>
                </c:pt>
                <c:pt idx="1">
                  <c:v>146</c:v>
                </c:pt>
                <c:pt idx="2">
                  <c:v>129</c:v>
                </c:pt>
                <c:pt idx="3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51-4797-8896-06D0D69B478E}"/>
            </c:ext>
          </c:extLst>
        </c:ser>
        <c:ser>
          <c:idx val="2"/>
          <c:order val="2"/>
          <c:tx>
            <c:strRef>
              <c:f>'Product Analysis'!$E$1</c:f>
              <c:strCache>
                <c:ptCount val="1"/>
                <c:pt idx="0">
                  <c:v>Total Production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'Product Analysis'!$A$2:$B$5</c:f>
              <c:multiLvlStrCache>
                <c:ptCount val="4"/>
                <c:lvl>
                  <c:pt idx="0">
                    <c:v>Standart Component</c:v>
                  </c:pt>
                  <c:pt idx="1">
                    <c:v>Precision Component</c:v>
                  </c:pt>
                  <c:pt idx="2">
                    <c:v>Mechanical Assembly</c:v>
                  </c:pt>
                  <c:pt idx="3">
                    <c:v>Complex Assembly</c:v>
                  </c:pt>
                </c:lvl>
                <c:lvl>
                  <c:pt idx="0">
                    <c:v>P-101</c:v>
                  </c:pt>
                  <c:pt idx="1">
                    <c:v>P-102</c:v>
                  </c:pt>
                  <c:pt idx="2">
                    <c:v>P-103</c:v>
                  </c:pt>
                  <c:pt idx="3">
                    <c:v>P-104</c:v>
                  </c:pt>
                </c:lvl>
              </c:multiLvlStrCache>
            </c:multiLvlStrRef>
          </c:cat>
          <c:val>
            <c:numRef>
              <c:f>'Product Analysis'!$E$2:$E$5</c:f>
              <c:numCache>
                <c:formatCode>General</c:formatCode>
                <c:ptCount val="4"/>
                <c:pt idx="0">
                  <c:v>354727</c:v>
                </c:pt>
                <c:pt idx="1">
                  <c:v>342144</c:v>
                </c:pt>
                <c:pt idx="2">
                  <c:v>309871</c:v>
                </c:pt>
                <c:pt idx="3">
                  <c:v>293350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51-4797-8896-06D0D69B478E}"/>
            </c:ext>
          </c:extLst>
        </c:ser>
        <c:ser>
          <c:idx val="3"/>
          <c:order val="3"/>
          <c:tx>
            <c:strRef>
              <c:f>'Product Analysis'!$F$1</c:f>
              <c:strCache>
                <c:ptCount val="1"/>
                <c:pt idx="0">
                  <c:v>Total Defects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'Product Analysis'!$A$2:$B$5</c:f>
              <c:multiLvlStrCache>
                <c:ptCount val="4"/>
                <c:lvl>
                  <c:pt idx="0">
                    <c:v>Standart Component</c:v>
                  </c:pt>
                  <c:pt idx="1">
                    <c:v>Precision Component</c:v>
                  </c:pt>
                  <c:pt idx="2">
                    <c:v>Mechanical Assembly</c:v>
                  </c:pt>
                  <c:pt idx="3">
                    <c:v>Complex Assembly</c:v>
                  </c:pt>
                </c:lvl>
                <c:lvl>
                  <c:pt idx="0">
                    <c:v>P-101</c:v>
                  </c:pt>
                  <c:pt idx="1">
                    <c:v>P-102</c:v>
                  </c:pt>
                  <c:pt idx="2">
                    <c:v>P-103</c:v>
                  </c:pt>
                  <c:pt idx="3">
                    <c:v>P-104</c:v>
                  </c:pt>
                </c:lvl>
              </c:multiLvlStrCache>
            </c:multiLvlStrRef>
          </c:cat>
          <c:val>
            <c:numRef>
              <c:f>'Product Analysis'!$F$2:$F$5</c:f>
              <c:numCache>
                <c:formatCode>General</c:formatCode>
                <c:ptCount val="4"/>
                <c:pt idx="0">
                  <c:v>9320</c:v>
                </c:pt>
                <c:pt idx="1">
                  <c:v>9197</c:v>
                </c:pt>
                <c:pt idx="2">
                  <c:v>8440</c:v>
                </c:pt>
                <c:pt idx="3">
                  <c:v>10185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51-4797-8896-06D0D69B4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737776"/>
        <c:axId val="628735376"/>
      </c:barChart>
      <c:lineChart>
        <c:grouping val="standard"/>
        <c:varyColors val="0"/>
        <c:ser>
          <c:idx val="4"/>
          <c:order val="4"/>
          <c:tx>
            <c:strRef>
              <c:f>'Product Analysis'!$G$1</c:f>
              <c:strCache>
                <c:ptCount val="1"/>
                <c:pt idx="0">
                  <c:v>Defect 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'Product Analysis'!$A$2:$B$5</c:f>
              <c:multiLvlStrCache>
                <c:ptCount val="4"/>
                <c:lvl>
                  <c:pt idx="0">
                    <c:v>Standart Component</c:v>
                  </c:pt>
                  <c:pt idx="1">
                    <c:v>Precision Component</c:v>
                  </c:pt>
                  <c:pt idx="2">
                    <c:v>Mechanical Assembly</c:v>
                  </c:pt>
                  <c:pt idx="3">
                    <c:v>Complex Assembly</c:v>
                  </c:pt>
                </c:lvl>
                <c:lvl>
                  <c:pt idx="0">
                    <c:v>P-101</c:v>
                  </c:pt>
                  <c:pt idx="1">
                    <c:v>P-102</c:v>
                  </c:pt>
                  <c:pt idx="2">
                    <c:v>P-103</c:v>
                  </c:pt>
                  <c:pt idx="3">
                    <c:v>P-104</c:v>
                  </c:pt>
                </c:lvl>
              </c:multiLvlStrCache>
            </c:multiLvlStrRef>
          </c:cat>
          <c:val>
            <c:numRef>
              <c:f>'Product Analysis'!$G$2:$G$5</c:f>
              <c:numCache>
                <c:formatCode>0.00%</c:formatCode>
                <c:ptCount val="4"/>
                <c:pt idx="0">
                  <c:v>2.6273725992100969E-2</c:v>
                </c:pt>
                <c:pt idx="1">
                  <c:v>2.6880494762439207E-2</c:v>
                </c:pt>
                <c:pt idx="2">
                  <c:v>2.7237140616579156E-2</c:v>
                </c:pt>
                <c:pt idx="3">
                  <c:v>3.4719618203511167E-2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51-4797-8896-06D0D69B4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6213968"/>
        <c:axId val="626213488"/>
      </c:lineChart>
      <c:catAx>
        <c:axId val="62873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28735376"/>
        <c:crosses val="autoZero"/>
        <c:auto val="1"/>
        <c:lblAlgn val="ctr"/>
        <c:lblOffset val="100"/>
        <c:noMultiLvlLbl val="0"/>
      </c:catAx>
      <c:valAx>
        <c:axId val="62873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28737776"/>
        <c:crosses val="autoZero"/>
        <c:crossBetween val="between"/>
      </c:valAx>
      <c:valAx>
        <c:axId val="62621348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26213968"/>
        <c:crosses val="max"/>
        <c:crossBetween val="between"/>
      </c:valAx>
      <c:catAx>
        <c:axId val="6262139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621348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106680</xdr:rowOff>
    </xdr:from>
    <xdr:to>
      <xdr:col>13</xdr:col>
      <xdr:colOff>495300</xdr:colOff>
      <xdr:row>16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BCB13A-48D7-9712-10FC-6692A4448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281940</xdr:colOff>
      <xdr:row>0</xdr:row>
      <xdr:rowOff>114300</xdr:rowOff>
    </xdr:from>
    <xdr:to>
      <xdr:col>14</xdr:col>
      <xdr:colOff>586740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0990F3-DFAD-15A2-A855-80BA81160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14.65054386574" createdVersion="8" refreshedVersion="8" minRefreshableVersion="3" recordCount="1609" xr:uid="{C7CACC16-D342-4525-B2C6-5D35600F6C59}">
  <cacheSource type="worksheet">
    <worksheetSource name="tblProduction"/>
  </cacheSource>
  <cacheFields count="10">
    <cacheField name="Column1" numFmtId="165">
      <sharedItems containsSemiMixedTypes="0" containsNonDate="0" containsDate="1" containsString="0" minDate="2026-01-01T00:00:00" maxDate="2026-07-01T00:00:00"/>
    </cacheField>
    <cacheField name="Line" numFmtId="0">
      <sharedItems/>
    </cacheField>
    <cacheField name="Shift" numFmtId="0">
      <sharedItems count="3">
        <s v="Morning"/>
        <s v="Evening"/>
        <s v="Night"/>
      </sharedItems>
    </cacheField>
    <cacheField name="Product" numFmtId="0">
      <sharedItems count="4">
        <s v="P-102"/>
        <s v="P-104"/>
        <s v="P-101"/>
        <s v="P-103"/>
      </sharedItems>
    </cacheField>
    <cacheField name="Produced_Units" numFmtId="0">
      <sharedItems containsSemiMixedTypes="0" containsString="0" containsNumber="1" containsInteger="1" minValue="553" maxValue="1148" count="432">
        <n v="889"/>
        <n v="918"/>
        <n v="746"/>
        <n v="962"/>
        <n v="716"/>
        <n v="783"/>
        <n v="807"/>
        <n v="660"/>
        <n v="576"/>
        <n v="961"/>
        <n v="967"/>
        <n v="818"/>
        <n v="808"/>
        <n v="850"/>
        <n v="814"/>
        <n v="744"/>
        <n v="715"/>
        <n v="616"/>
        <n v="853"/>
        <n v="863"/>
        <n v="920"/>
        <n v="721"/>
        <n v="819"/>
        <n v="854"/>
        <n v="750"/>
        <n v="730"/>
        <n v="1070"/>
        <n v="1018"/>
        <n v="797"/>
        <n v="883"/>
        <n v="757"/>
        <n v="792"/>
        <n v="631"/>
        <n v="723"/>
        <n v="668"/>
        <n v="989"/>
        <n v="1032"/>
        <n v="805"/>
        <n v="899"/>
        <n v="857"/>
        <n v="659"/>
        <n v="831"/>
        <n v="679"/>
        <n v="603"/>
        <n v="840"/>
        <n v="838"/>
        <n v="830"/>
        <n v="826"/>
        <n v="766"/>
        <n v="724"/>
        <n v="612"/>
        <n v="930"/>
        <n v="948"/>
        <n v="765"/>
        <n v="736"/>
        <n v="843"/>
        <n v="733"/>
        <n v="1000"/>
        <n v="890"/>
        <n v="726"/>
        <n v="869"/>
        <n v="707"/>
        <n v="860"/>
        <n v="680"/>
        <n v="606"/>
        <n v="998"/>
        <n v="981"/>
        <n v="844"/>
        <n v="923"/>
        <n v="786"/>
        <n v="713"/>
        <n v="752"/>
        <n v="642"/>
        <n v="983"/>
        <n v="912"/>
        <n v="856"/>
        <n v="803"/>
        <n v="799"/>
        <n v="815"/>
        <n v="662"/>
        <n v="806"/>
        <n v="954"/>
        <n v="812"/>
        <n v="778"/>
        <n v="988"/>
        <n v="773"/>
        <n v="790"/>
        <n v="719"/>
        <n v="960"/>
        <n v="749"/>
        <n v="729"/>
        <n v="894"/>
        <n v="804"/>
        <n v="817"/>
        <n v="728"/>
        <n v="720"/>
        <n v="602"/>
        <n v="880"/>
        <n v="785"/>
        <n v="997"/>
        <n v="959"/>
        <n v="705"/>
        <n v="619"/>
        <n v="885"/>
        <n v="878"/>
        <n v="900"/>
        <n v="738"/>
        <n v="583"/>
        <n v="907"/>
        <n v="991"/>
        <n v="795"/>
        <n v="743"/>
        <n v="635"/>
        <n v="645"/>
        <n v="827"/>
        <n v="875"/>
        <n v="902"/>
        <n v="937"/>
        <n v="828"/>
        <n v="859"/>
        <n v="911"/>
        <n v="906"/>
        <n v="870"/>
        <n v="835"/>
        <n v="794"/>
        <n v="737"/>
        <n v="821"/>
        <n v="624"/>
        <n v="683"/>
        <n v="957"/>
        <n v="995"/>
        <n v="886"/>
        <n v="897"/>
        <n v="731"/>
        <n v="829"/>
        <n v="891"/>
        <n v="1003"/>
        <n v="712"/>
        <n v="934"/>
        <n v="909"/>
        <n v="755"/>
        <n v="661"/>
        <n v="924"/>
        <n v="777"/>
        <n v="845"/>
        <n v="717"/>
        <n v="692"/>
        <n v="620"/>
        <n v="963"/>
        <n v="864"/>
        <n v="944"/>
        <n v="666"/>
        <n v="676"/>
        <n v="940"/>
        <n v="858"/>
        <n v="842"/>
        <n v="972"/>
        <n v="896"/>
        <n v="747"/>
        <n v="796"/>
        <n v="802"/>
        <n v="614"/>
        <n v="964"/>
        <n v="751"/>
        <n v="820"/>
        <n v="839"/>
        <n v="735"/>
        <n v="771"/>
        <n v="898"/>
        <n v="1046"/>
        <n v="974"/>
        <n v="684"/>
        <n v="740"/>
        <n v="754"/>
        <n v="947"/>
        <n v="943"/>
        <n v="710"/>
        <n v="809"/>
        <n v="861"/>
        <n v="837"/>
        <n v="945"/>
        <n v="784"/>
        <n v="767"/>
        <n v="775"/>
        <n v="1097"/>
        <n v="973"/>
        <n v="800"/>
        <n v="904"/>
        <n v="950"/>
        <n v="779"/>
        <n v="910"/>
        <n v="657"/>
        <n v="1115"/>
        <n v="789"/>
        <n v="753"/>
        <n v="681"/>
        <n v="1011"/>
        <n v="992"/>
        <n v="971"/>
        <n v="877"/>
        <n v="791"/>
        <n v="823"/>
        <n v="1106"/>
        <n v="849"/>
        <n v="862"/>
        <n v="762"/>
        <n v="810"/>
        <n v="687"/>
        <n v="919"/>
        <n v="822"/>
        <n v="689"/>
        <n v="647"/>
        <n v="1009"/>
        <n v="975"/>
        <n v="813"/>
        <n v="769"/>
        <n v="727"/>
        <n v="914"/>
        <n v="833"/>
        <n v="801"/>
        <n v="780"/>
        <n v="579"/>
        <n v="847"/>
        <n v="879"/>
        <n v="951"/>
        <n v="748"/>
        <n v="718"/>
        <n v="782"/>
        <n v="701"/>
        <n v="1058"/>
        <n v="933"/>
        <n v="811"/>
        <n v="772"/>
        <n v="714"/>
        <n v="868"/>
        <n v="664"/>
        <n v="643"/>
        <n v="952"/>
        <n v="851"/>
        <n v="711"/>
        <n v="688"/>
        <n v="761"/>
        <n v="882"/>
        <n v="708"/>
        <n v="852"/>
        <n v="632"/>
        <n v="939"/>
        <n v="994"/>
        <n v="760"/>
        <n v="641"/>
        <n v="781"/>
        <n v="836"/>
        <n v="987"/>
        <n v="908"/>
        <n v="759"/>
        <n v="825"/>
        <n v="589"/>
        <n v="1031"/>
        <n v="824"/>
        <n v="725"/>
        <n v="871"/>
        <n v="656"/>
        <n v="592"/>
        <n v="929"/>
        <n v="787"/>
        <n v="788"/>
        <n v="561"/>
        <n v="1125"/>
        <n v="834"/>
        <n v="604"/>
        <n v="621"/>
        <n v="876"/>
        <n v="913"/>
        <n v="881"/>
        <n v="903"/>
        <n v="979"/>
        <n v="901"/>
        <n v="695"/>
        <n v="745"/>
        <n v="704"/>
        <n v="658"/>
        <n v="867"/>
        <n v="1005"/>
        <n v="884"/>
        <n v="758"/>
        <n v="848"/>
        <n v="650"/>
        <n v="574"/>
        <n v="915"/>
        <n v="696"/>
        <n v="703"/>
        <n v="768"/>
        <n v="639"/>
        <n v="846"/>
        <n v="793"/>
        <n v="956"/>
        <n v="1099"/>
        <n v="855"/>
        <n v="970"/>
        <n v="776"/>
        <n v="739"/>
        <n v="686"/>
        <n v="699"/>
        <n v="667"/>
        <n v="706"/>
        <n v="652"/>
        <n v="628"/>
        <n v="634"/>
        <n v="742"/>
        <n v="1042"/>
        <n v="966"/>
        <n v="734"/>
        <n v="982"/>
        <n v="977"/>
        <n v="938"/>
        <n v="670"/>
        <n v="764"/>
        <n v="697"/>
        <n v="986"/>
        <n v="553"/>
        <n v="763"/>
        <n v="654"/>
        <n v="887"/>
        <n v="866"/>
        <n v="816"/>
        <n v="1015"/>
        <n v="993"/>
        <n v="673"/>
        <n v="1124"/>
        <n v="644"/>
        <n v="1004"/>
        <n v="722"/>
        <n v="732"/>
        <n v="1029"/>
        <n v="980"/>
        <n v="1073"/>
        <n v="1019"/>
        <n v="996"/>
        <n v="702"/>
        <n v="741"/>
        <n v="892"/>
        <n v="649"/>
        <n v="1050"/>
        <n v="832"/>
        <n v="677"/>
        <n v="1036"/>
        <n v="678"/>
        <n v="595"/>
        <n v="1023"/>
        <n v="1014"/>
        <n v="1107"/>
        <n v="1035"/>
        <n v="865"/>
        <n v="638"/>
        <n v="968"/>
        <n v="941"/>
        <n v="700"/>
        <n v="682"/>
        <n v="926"/>
        <n v="629"/>
        <n v="1062"/>
        <n v="770"/>
        <n v="893"/>
        <n v="622"/>
        <n v="774"/>
        <n v="653"/>
        <n v="1034"/>
        <n v="674"/>
        <n v="916"/>
        <n v="1017"/>
        <n v="1148"/>
        <n v="633"/>
        <n v="584"/>
        <n v="1024"/>
        <n v="872"/>
        <n v="927"/>
        <n v="1026"/>
        <n v="895"/>
        <n v="985"/>
        <n v="648"/>
        <n v="978"/>
        <n v="685"/>
        <n v="917"/>
        <n v="1033"/>
        <n v="663"/>
        <n v="610"/>
        <n v="935"/>
        <n v="1071"/>
        <n v="690"/>
        <n v="669"/>
        <n v="922"/>
        <n v="936"/>
        <n v="928"/>
        <n v="1103"/>
        <n v="873"/>
        <n v="637"/>
        <n v="626"/>
        <n v="931"/>
        <n v="1076"/>
        <n v="1083"/>
        <n v="905"/>
        <n v="1084"/>
        <n v="671"/>
        <n v="888"/>
        <n v="607"/>
        <n v="1060"/>
        <n v="999"/>
        <n v="1113"/>
        <n v="1007"/>
        <n v="798"/>
        <n v="613"/>
        <n v="1052"/>
        <n v="672"/>
        <n v="691"/>
        <n v="636"/>
        <n v="1027"/>
        <n v="625"/>
        <n v="756"/>
        <n v="953"/>
        <n v="1039"/>
        <n v="925"/>
        <n v="946"/>
        <n v="969"/>
        <n v="640"/>
        <n v="571"/>
        <n v="594"/>
        <n v="1054"/>
        <n v="1021"/>
        <n v="665"/>
        <n v="1063"/>
        <n v="675"/>
        <n v="588"/>
      </sharedItems>
    </cacheField>
    <cacheField name="Defect_Count" numFmtId="0">
      <sharedItems containsSemiMixedTypes="0" containsString="0" containsNumber="1" containsInteger="1" minValue="11" maxValue="36"/>
    </cacheField>
    <cacheField name="Downtime_Minutes" numFmtId="0">
      <sharedItems containsSemiMixedTypes="0" containsString="0" containsNumber="1" containsInteger="1" minValue="0" maxValue="90"/>
    </cacheField>
    <cacheField name="Good_Units" numFmtId="0">
      <sharedItems containsSemiMixedTypes="0" containsString="0" containsNumber="1" containsInteger="1" minValue="524" maxValue="1131"/>
    </cacheField>
    <cacheField name="Defect_Rate" numFmtId="0">
      <sharedItems containsSemiMixedTypes="0" containsString="0" containsNumber="1" minValue="1.38568129330254" maxValue="5.287009063444108"/>
    </cacheField>
    <cacheField name="Production_Efficiency" numFmtId="0">
      <sharedItems containsSemiMixedTypes="0" containsString="0" containsNumber="1" minValue="94.712990936555897" maxValue="98.614318706697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9">
  <r>
    <d v="2026-01-01T00:00:00"/>
    <s v="Line A"/>
    <x v="0"/>
    <x v="0"/>
    <x v="0"/>
    <n v="13"/>
    <n v="77"/>
    <n v="876"/>
    <n v="1.462317210348707"/>
    <n v="98.537682789651299"/>
  </r>
  <r>
    <d v="2026-01-01T00:00:00"/>
    <s v="Line A"/>
    <x v="1"/>
    <x v="0"/>
    <x v="1"/>
    <n v="13"/>
    <n v="28"/>
    <n v="905"/>
    <n v="1.416122004357298"/>
    <n v="98.583877995642695"/>
  </r>
  <r>
    <d v="2026-01-01T00:00:00"/>
    <s v="Line A"/>
    <x v="2"/>
    <x v="1"/>
    <x v="2"/>
    <n v="24"/>
    <n v="35"/>
    <n v="722"/>
    <n v="3.2171581769437001"/>
    <n v="96.782841823056302"/>
  </r>
  <r>
    <d v="2026-01-01T00:00:00"/>
    <s v="Line B"/>
    <x v="0"/>
    <x v="2"/>
    <x v="3"/>
    <n v="24"/>
    <n v="31"/>
    <n v="938"/>
    <n v="2.4948024948024949"/>
    <n v="97.505197505197501"/>
  </r>
  <r>
    <d v="2026-01-01T00:00:00"/>
    <s v="Line B"/>
    <x v="1"/>
    <x v="1"/>
    <x v="4"/>
    <n v="23"/>
    <n v="71"/>
    <n v="693"/>
    <n v="3.2122905027932962"/>
    <n v="96.787709497206706"/>
  </r>
  <r>
    <d v="2026-01-01T00:00:00"/>
    <s v="Line B"/>
    <x v="2"/>
    <x v="0"/>
    <x v="5"/>
    <n v="27"/>
    <n v="12"/>
    <n v="756"/>
    <n v="3.4482758620689649"/>
    <n v="96.551724137931032"/>
  </r>
  <r>
    <d v="2026-01-01T00:00:00"/>
    <s v="Line C"/>
    <x v="0"/>
    <x v="2"/>
    <x v="6"/>
    <n v="28"/>
    <n v="60"/>
    <n v="779"/>
    <n v="3.4696406443618342"/>
    <n v="96.530359355638168"/>
  </r>
  <r>
    <d v="2026-01-01T00:00:00"/>
    <s v="Line C"/>
    <x v="1"/>
    <x v="1"/>
    <x v="7"/>
    <n v="28"/>
    <n v="68"/>
    <n v="632"/>
    <n v="4.2424242424242431"/>
    <n v="95.757575757575751"/>
  </r>
  <r>
    <d v="2026-01-01T00:00:00"/>
    <s v="Line C"/>
    <x v="2"/>
    <x v="1"/>
    <x v="8"/>
    <n v="30"/>
    <n v="67"/>
    <n v="546"/>
    <n v="5.2083333333333339"/>
    <n v="94.791666666666657"/>
  </r>
  <r>
    <d v="2026-01-02T00:00:00"/>
    <s v="Line A"/>
    <x v="0"/>
    <x v="0"/>
    <x v="9"/>
    <n v="14"/>
    <n v="40"/>
    <n v="947"/>
    <n v="1.4568158168574401"/>
    <n v="98.543184183142557"/>
  </r>
  <r>
    <d v="2026-01-02T00:00:00"/>
    <s v="Line A"/>
    <x v="1"/>
    <x v="0"/>
    <x v="10"/>
    <n v="14"/>
    <n v="24"/>
    <n v="953"/>
    <n v="1.4477766287487071"/>
    <n v="98.552223371251287"/>
  </r>
  <r>
    <d v="2026-01-02T00:00:00"/>
    <s v="Line A"/>
    <x v="2"/>
    <x v="2"/>
    <x v="11"/>
    <n v="20"/>
    <n v="78"/>
    <n v="798"/>
    <n v="2.4449877750611249"/>
    <n v="97.555012224938878"/>
  </r>
  <r>
    <d v="2026-01-02T00:00:00"/>
    <s v="Line B"/>
    <x v="0"/>
    <x v="0"/>
    <x v="12"/>
    <n v="20"/>
    <n v="79"/>
    <n v="788"/>
    <n v="2.4752475247524748"/>
    <n v="97.524752475247524"/>
  </r>
  <r>
    <d v="2026-01-02T00:00:00"/>
    <s v="Line B"/>
    <x v="1"/>
    <x v="3"/>
    <x v="13"/>
    <n v="21"/>
    <n v="18"/>
    <n v="829"/>
    <n v="2.4705882352941169"/>
    <n v="97.529411764705884"/>
  </r>
  <r>
    <d v="2026-01-02T00:00:00"/>
    <s v="Line B"/>
    <x v="2"/>
    <x v="2"/>
    <x v="14"/>
    <n v="28"/>
    <n v="17"/>
    <n v="786"/>
    <n v="3.4398034398034398"/>
    <n v="96.560196560196559"/>
  </r>
  <r>
    <d v="2026-01-02T00:00:00"/>
    <s v="Line C"/>
    <x v="0"/>
    <x v="3"/>
    <x v="15"/>
    <n v="26"/>
    <n v="49"/>
    <n v="718"/>
    <n v="3.4946236559139781"/>
    <n v="96.505376344086031"/>
  </r>
  <r>
    <d v="2026-01-02T00:00:00"/>
    <s v="Line C"/>
    <x v="1"/>
    <x v="0"/>
    <x v="16"/>
    <n v="25"/>
    <n v="47"/>
    <n v="690"/>
    <n v="3.4965034965034971"/>
    <n v="96.503496503496507"/>
  </r>
  <r>
    <d v="2026-01-02T00:00:00"/>
    <s v="Line C"/>
    <x v="2"/>
    <x v="3"/>
    <x v="17"/>
    <n v="27"/>
    <n v="82"/>
    <n v="589"/>
    <n v="4.383116883116883"/>
    <n v="95.616883116883116"/>
  </r>
  <r>
    <d v="2026-01-03T00:00:00"/>
    <s v="Line A"/>
    <x v="0"/>
    <x v="1"/>
    <x v="18"/>
    <n v="19"/>
    <n v="43"/>
    <n v="834"/>
    <n v="2.2274325908558028"/>
    <n v="97.772567409144202"/>
  </r>
  <r>
    <d v="2026-01-03T00:00:00"/>
    <s v="Line A"/>
    <x v="1"/>
    <x v="3"/>
    <x v="19"/>
    <n v="12"/>
    <n v="64"/>
    <n v="851"/>
    <n v="1.3904982618771731"/>
    <n v="98.60950173812283"/>
  </r>
  <r>
    <d v="2026-01-03T00:00:00"/>
    <s v="Line A"/>
    <x v="2"/>
    <x v="0"/>
    <x v="20"/>
    <n v="23"/>
    <n v="3"/>
    <n v="897"/>
    <n v="2.5"/>
    <n v="97.5"/>
  </r>
  <r>
    <d v="2026-01-03T00:00:00"/>
    <s v="Line B"/>
    <x v="0"/>
    <x v="0"/>
    <x v="11"/>
    <n v="20"/>
    <n v="67"/>
    <n v="798"/>
    <n v="2.4449877750611249"/>
    <n v="97.555012224938878"/>
  </r>
  <r>
    <d v="2026-01-03T00:00:00"/>
    <s v="Line B"/>
    <x v="1"/>
    <x v="1"/>
    <x v="21"/>
    <n v="23"/>
    <n v="37"/>
    <n v="698"/>
    <n v="3.19001386962552"/>
    <n v="96.809986130374483"/>
  </r>
  <r>
    <d v="2026-01-03T00:00:00"/>
    <s v="Line B"/>
    <x v="2"/>
    <x v="2"/>
    <x v="22"/>
    <n v="28"/>
    <n v="56"/>
    <n v="791"/>
    <n v="3.4188034188034191"/>
    <n v="96.581196581196579"/>
  </r>
  <r>
    <d v="2026-01-03T00:00:00"/>
    <s v="Line C"/>
    <x v="0"/>
    <x v="2"/>
    <x v="23"/>
    <n v="29"/>
    <n v="40"/>
    <n v="825"/>
    <n v="3.3957845433255271"/>
    <n v="96.604215456674467"/>
  </r>
  <r>
    <d v="2026-01-03T00:00:00"/>
    <s v="Line C"/>
    <x v="1"/>
    <x v="0"/>
    <x v="24"/>
    <n v="26"/>
    <n v="36"/>
    <n v="724"/>
    <n v="3.4666666666666659"/>
    <n v="96.533333333333331"/>
  </r>
  <r>
    <d v="2026-01-03T00:00:00"/>
    <s v="Line C"/>
    <x v="2"/>
    <x v="0"/>
    <x v="25"/>
    <n v="32"/>
    <n v="40"/>
    <n v="698"/>
    <n v="4.3835616438356162"/>
    <n v="95.61643835616438"/>
  </r>
  <r>
    <d v="2026-01-04T00:00:00"/>
    <s v="Line A"/>
    <x v="0"/>
    <x v="2"/>
    <x v="26"/>
    <n v="16"/>
    <n v="29"/>
    <n v="1054"/>
    <n v="1.495327102803738"/>
    <n v="98.504672897196272"/>
  </r>
  <r>
    <d v="2026-01-04T00:00:00"/>
    <s v="Line A"/>
    <x v="1"/>
    <x v="2"/>
    <x v="27"/>
    <n v="15"/>
    <n v="29"/>
    <n v="1003"/>
    <n v="1.473477406679764"/>
    <n v="98.526522593320237"/>
  </r>
  <r>
    <d v="2026-01-04T00:00:00"/>
    <s v="Line A"/>
    <x v="2"/>
    <x v="1"/>
    <x v="28"/>
    <n v="26"/>
    <n v="42"/>
    <n v="771"/>
    <n v="3.2622333751568382"/>
    <n v="96.737766624843161"/>
  </r>
  <r>
    <d v="2026-01-04T00:00:00"/>
    <s v="Line B"/>
    <x v="0"/>
    <x v="3"/>
    <x v="29"/>
    <n v="22"/>
    <n v="4"/>
    <n v="861"/>
    <n v="2.491506228765572"/>
    <n v="97.508493771234427"/>
  </r>
  <r>
    <d v="2026-01-04T00:00:00"/>
    <s v="Line B"/>
    <x v="1"/>
    <x v="0"/>
    <x v="30"/>
    <n v="18"/>
    <n v="82"/>
    <n v="739"/>
    <n v="2.3778071334213999"/>
    <n v="97.622192866578601"/>
  </r>
  <r>
    <d v="2026-01-04T00:00:00"/>
    <s v="Line B"/>
    <x v="2"/>
    <x v="3"/>
    <x v="31"/>
    <n v="27"/>
    <n v="5"/>
    <n v="765"/>
    <n v="3.4090909090909092"/>
    <n v="96.590909090909093"/>
  </r>
  <r>
    <d v="2026-01-04T00:00:00"/>
    <s v="Line C"/>
    <x v="0"/>
    <x v="1"/>
    <x v="32"/>
    <n v="27"/>
    <n v="90"/>
    <n v="604"/>
    <n v="4.2789223454833598"/>
    <n v="95.721077654516634"/>
  </r>
  <r>
    <d v="2026-01-04T00:00:00"/>
    <s v="Line C"/>
    <x v="1"/>
    <x v="0"/>
    <x v="33"/>
    <n v="25"/>
    <n v="81"/>
    <n v="698"/>
    <n v="3.4578146611341629"/>
    <n v="96.542185338865835"/>
  </r>
  <r>
    <d v="2026-01-04T00:00:00"/>
    <s v="Line C"/>
    <x v="2"/>
    <x v="3"/>
    <x v="34"/>
    <n v="30"/>
    <n v="24"/>
    <n v="638"/>
    <n v="4.4910179640718564"/>
    <n v="95.508982035928142"/>
  </r>
  <r>
    <d v="2026-01-05T00:00:00"/>
    <s v="Line A"/>
    <x v="0"/>
    <x v="3"/>
    <x v="35"/>
    <n v="14"/>
    <n v="2"/>
    <n v="975"/>
    <n v="1.4155712841253789"/>
    <n v="98.584428715874623"/>
  </r>
  <r>
    <d v="2026-01-05T00:00:00"/>
    <s v="Line A"/>
    <x v="1"/>
    <x v="2"/>
    <x v="36"/>
    <n v="15"/>
    <n v="14"/>
    <n v="1017"/>
    <n v="1.453488372093023"/>
    <n v="98.54651162790698"/>
  </r>
  <r>
    <d v="2026-01-05T00:00:00"/>
    <s v="Line A"/>
    <x v="2"/>
    <x v="0"/>
    <x v="37"/>
    <n v="20"/>
    <n v="60"/>
    <n v="785"/>
    <n v="2.4844720496894408"/>
    <n v="97.515527950310556"/>
  </r>
  <r>
    <d v="2026-01-05T00:00:00"/>
    <s v="Line B"/>
    <x v="0"/>
    <x v="0"/>
    <x v="38"/>
    <n v="22"/>
    <n v="48"/>
    <n v="877"/>
    <n v="2.4471635150166851"/>
    <n v="97.552836484983317"/>
  </r>
  <r>
    <d v="2026-01-05T00:00:00"/>
    <s v="Line B"/>
    <x v="1"/>
    <x v="3"/>
    <x v="39"/>
    <n v="21"/>
    <n v="18"/>
    <n v="836"/>
    <n v="2.450408401400233"/>
    <n v="97.549591598599775"/>
  </r>
  <r>
    <d v="2026-01-05T00:00:00"/>
    <s v="Line B"/>
    <x v="2"/>
    <x v="1"/>
    <x v="40"/>
    <n v="28"/>
    <n v="85"/>
    <n v="631"/>
    <n v="4.2488619119878601"/>
    <n v="95.751138088012141"/>
  </r>
  <r>
    <d v="2026-01-05T00:00:00"/>
    <s v="Line C"/>
    <x v="0"/>
    <x v="0"/>
    <x v="41"/>
    <n v="29"/>
    <n v="38"/>
    <n v="802"/>
    <n v="3.4897713598074609"/>
    <n v="96.510228640192537"/>
  </r>
  <r>
    <d v="2026-01-05T00:00:00"/>
    <s v="Line C"/>
    <x v="1"/>
    <x v="1"/>
    <x v="42"/>
    <n v="29"/>
    <n v="37"/>
    <n v="650"/>
    <n v="4.2709867452135493"/>
    <n v="95.729013254786452"/>
  </r>
  <r>
    <d v="2026-01-05T00:00:00"/>
    <s v="Line C"/>
    <x v="2"/>
    <x v="1"/>
    <x v="43"/>
    <n v="31"/>
    <n v="63"/>
    <n v="572"/>
    <n v="5.140961857379768"/>
    <n v="94.859038142620236"/>
  </r>
  <r>
    <d v="2026-01-06T00:00:00"/>
    <s v="Line A"/>
    <x v="0"/>
    <x v="0"/>
    <x v="19"/>
    <n v="12"/>
    <n v="80"/>
    <n v="851"/>
    <n v="1.3904982618771731"/>
    <n v="98.60950173812283"/>
  </r>
  <r>
    <d v="2026-01-06T00:00:00"/>
    <s v="Line A"/>
    <x v="1"/>
    <x v="0"/>
    <x v="39"/>
    <n v="12"/>
    <n v="60"/>
    <n v="845"/>
    <n v="1.400233372228705"/>
    <n v="98.599766627771288"/>
  </r>
  <r>
    <d v="2026-01-06T00:00:00"/>
    <s v="Line A"/>
    <x v="2"/>
    <x v="2"/>
    <x v="44"/>
    <n v="21"/>
    <n v="75"/>
    <n v="819"/>
    <n v="2.5"/>
    <n v="97.5"/>
  </r>
  <r>
    <d v="2026-01-06T00:00:00"/>
    <s v="Line B"/>
    <x v="0"/>
    <x v="1"/>
    <x v="45"/>
    <n v="27"/>
    <n v="14"/>
    <n v="811"/>
    <n v="3.2219570405727929"/>
    <n v="96.778042959427211"/>
  </r>
  <r>
    <d v="2026-01-06T00:00:00"/>
    <s v="Line B"/>
    <x v="1"/>
    <x v="0"/>
    <x v="46"/>
    <n v="20"/>
    <n v="32"/>
    <n v="810"/>
    <n v="2.4096385542168681"/>
    <n v="97.590361445783131"/>
  </r>
  <r>
    <d v="2026-01-06T00:00:00"/>
    <s v="Line B"/>
    <x v="2"/>
    <x v="0"/>
    <x v="47"/>
    <n v="28"/>
    <n v="9"/>
    <n v="798"/>
    <n v="3.3898305084745761"/>
    <n v="96.610169491525426"/>
  </r>
  <r>
    <d v="2026-01-06T00:00:00"/>
    <s v="Line C"/>
    <x v="0"/>
    <x v="3"/>
    <x v="48"/>
    <n v="26"/>
    <n v="25"/>
    <n v="740"/>
    <n v="3.3942558746736302"/>
    <n v="96.605744125326382"/>
  </r>
  <r>
    <d v="2026-01-06T00:00:00"/>
    <s v="Line C"/>
    <x v="1"/>
    <x v="0"/>
    <x v="49"/>
    <n v="25"/>
    <n v="53"/>
    <n v="699"/>
    <n v="3.45303867403315"/>
    <n v="96.546961325966848"/>
  </r>
  <r>
    <d v="2026-01-06T00:00:00"/>
    <s v="Line C"/>
    <x v="2"/>
    <x v="3"/>
    <x v="50"/>
    <n v="27"/>
    <n v="63"/>
    <n v="585"/>
    <n v="4.4117647058823533"/>
    <n v="95.588235294117652"/>
  </r>
  <r>
    <d v="2026-01-07T00:00:00"/>
    <s v="Line A"/>
    <x v="0"/>
    <x v="0"/>
    <x v="51"/>
    <n v="13"/>
    <n v="68"/>
    <n v="917"/>
    <n v="1.397849462365591"/>
    <n v="98.602150537634401"/>
  </r>
  <r>
    <d v="2026-01-07T00:00:00"/>
    <s v="Line A"/>
    <x v="1"/>
    <x v="2"/>
    <x v="52"/>
    <n v="14"/>
    <n v="55"/>
    <n v="934"/>
    <n v="1.4767932489451481"/>
    <n v="98.523206751054843"/>
  </r>
  <r>
    <d v="2026-01-07T00:00:00"/>
    <s v="Line A"/>
    <x v="2"/>
    <x v="0"/>
    <x v="53"/>
    <n v="19"/>
    <n v="87"/>
    <n v="746"/>
    <n v="2.4836601307189539"/>
    <n v="97.51633986928104"/>
  </r>
  <r>
    <d v="2026-01-07T00:00:00"/>
    <s v="Line B"/>
    <x v="0"/>
    <x v="0"/>
    <x v="31"/>
    <n v="19"/>
    <n v="78"/>
    <n v="773"/>
    <n v="2.3989898989898988"/>
    <n v="97.601010101010104"/>
  </r>
  <r>
    <d v="2026-01-07T00:00:00"/>
    <s v="Line B"/>
    <x v="1"/>
    <x v="3"/>
    <x v="54"/>
    <n v="18"/>
    <n v="84"/>
    <n v="718"/>
    <n v="2.445652173913043"/>
    <n v="97.554347826086953"/>
  </r>
  <r>
    <d v="2026-01-07T00:00:00"/>
    <s v="Line B"/>
    <x v="2"/>
    <x v="0"/>
    <x v="31"/>
    <n v="27"/>
    <n v="25"/>
    <n v="765"/>
    <n v="3.4090909090909092"/>
    <n v="96.590909090909093"/>
  </r>
  <r>
    <d v="2026-01-07T00:00:00"/>
    <s v="Line C"/>
    <x v="0"/>
    <x v="2"/>
    <x v="55"/>
    <n v="29"/>
    <n v="10"/>
    <n v="814"/>
    <n v="3.4400948991696318"/>
    <n v="96.559905100830363"/>
  </r>
  <r>
    <d v="2026-01-07T00:00:00"/>
    <s v="Line C"/>
    <x v="1"/>
    <x v="2"/>
    <x v="11"/>
    <n v="28"/>
    <n v="6"/>
    <n v="790"/>
    <n v="3.4229828850855739"/>
    <n v="96.577017114914426"/>
  </r>
  <r>
    <d v="2026-01-07T00:00:00"/>
    <s v="Line C"/>
    <x v="2"/>
    <x v="3"/>
    <x v="56"/>
    <n v="32"/>
    <n v="5"/>
    <n v="701"/>
    <n v="4.3656207366984994"/>
    <n v="95.634379263301511"/>
  </r>
  <r>
    <d v="2026-01-08T00:00:00"/>
    <s v="Line A"/>
    <x v="0"/>
    <x v="3"/>
    <x v="57"/>
    <n v="15"/>
    <n v="13"/>
    <n v="985"/>
    <n v="1.5"/>
    <n v="98.5"/>
  </r>
  <r>
    <d v="2026-01-08T00:00:00"/>
    <s v="Line A"/>
    <x v="1"/>
    <x v="3"/>
    <x v="58"/>
    <n v="13"/>
    <n v="45"/>
    <n v="877"/>
    <n v="1.460674157303371"/>
    <n v="98.539325842696641"/>
  </r>
  <r>
    <d v="2026-01-08T00:00:00"/>
    <s v="Line A"/>
    <x v="2"/>
    <x v="3"/>
    <x v="33"/>
    <n v="18"/>
    <n v="80"/>
    <n v="705"/>
    <n v="2.489626556016598"/>
    <n v="97.510373443983397"/>
  </r>
  <r>
    <d v="2026-01-08T00:00:00"/>
    <s v="Line B"/>
    <x v="0"/>
    <x v="1"/>
    <x v="59"/>
    <n v="23"/>
    <n v="79"/>
    <n v="703"/>
    <n v="3.168044077134986"/>
    <n v="96.831955922865006"/>
  </r>
  <r>
    <d v="2026-01-08T00:00:00"/>
    <s v="Line B"/>
    <x v="1"/>
    <x v="3"/>
    <x v="60"/>
    <n v="21"/>
    <n v="8"/>
    <n v="848"/>
    <n v="2.416570771001151"/>
    <n v="97.583429228998853"/>
  </r>
  <r>
    <d v="2026-01-08T00:00:00"/>
    <s v="Line B"/>
    <x v="2"/>
    <x v="3"/>
    <x v="61"/>
    <n v="24"/>
    <n v="51"/>
    <n v="683"/>
    <n v="3.394625176803395"/>
    <n v="96.605374823196613"/>
  </r>
  <r>
    <d v="2026-01-08T00:00:00"/>
    <s v="Line C"/>
    <x v="0"/>
    <x v="0"/>
    <x v="62"/>
    <n v="30"/>
    <n v="16"/>
    <n v="830"/>
    <n v="3.4883720930232558"/>
    <n v="96.511627906976756"/>
  </r>
  <r>
    <d v="2026-01-08T00:00:00"/>
    <s v="Line C"/>
    <x v="1"/>
    <x v="1"/>
    <x v="63"/>
    <n v="29"/>
    <n v="18"/>
    <n v="651"/>
    <n v="4.2647058823529411"/>
    <n v="95.735294117647058"/>
  </r>
  <r>
    <d v="2026-01-08T00:00:00"/>
    <s v="Line C"/>
    <x v="2"/>
    <x v="3"/>
    <x v="64"/>
    <n v="27"/>
    <n v="85"/>
    <n v="579"/>
    <n v="4.455445544554455"/>
    <n v="95.544554455445535"/>
  </r>
  <r>
    <d v="2026-01-09T00:00:00"/>
    <s v="Line A"/>
    <x v="0"/>
    <x v="3"/>
    <x v="65"/>
    <n v="14"/>
    <n v="3"/>
    <n v="984"/>
    <n v="1.402805611222445"/>
    <n v="98.597194388777552"/>
  </r>
  <r>
    <d v="2026-01-09T00:00:00"/>
    <s v="Line A"/>
    <x v="1"/>
    <x v="2"/>
    <x v="66"/>
    <n v="14"/>
    <n v="62"/>
    <n v="967"/>
    <n v="1.427115188583078"/>
    <n v="98.572884811416912"/>
  </r>
  <r>
    <d v="2026-01-09T00:00:00"/>
    <s v="Line A"/>
    <x v="2"/>
    <x v="0"/>
    <x v="67"/>
    <n v="21"/>
    <n v="65"/>
    <n v="823"/>
    <n v="2.488151658767773"/>
    <n v="97.511848341232238"/>
  </r>
  <r>
    <d v="2026-01-09T00:00:00"/>
    <s v="Line B"/>
    <x v="0"/>
    <x v="0"/>
    <x v="68"/>
    <n v="23"/>
    <n v="30"/>
    <n v="900"/>
    <n v="2.4918743228602378"/>
    <n v="97.508125677139759"/>
  </r>
  <r>
    <d v="2026-01-09T00:00:00"/>
    <s v="Line B"/>
    <x v="1"/>
    <x v="0"/>
    <x v="22"/>
    <n v="20"/>
    <n v="42"/>
    <n v="799"/>
    <n v="2.4420024420024422"/>
    <n v="97.557997557997552"/>
  </r>
  <r>
    <d v="2026-01-09T00:00:00"/>
    <s v="Line B"/>
    <x v="2"/>
    <x v="0"/>
    <x v="69"/>
    <n v="27"/>
    <n v="46"/>
    <n v="759"/>
    <n v="3.4351145038167941"/>
    <n v="96.564885496183209"/>
  </r>
  <r>
    <d v="2026-01-09T00:00:00"/>
    <s v="Line C"/>
    <x v="0"/>
    <x v="1"/>
    <x v="70"/>
    <n v="30"/>
    <n v="39"/>
    <n v="683"/>
    <n v="4.2075736325385691"/>
    <n v="95.792426367461431"/>
  </r>
  <r>
    <d v="2026-01-09T00:00:00"/>
    <s v="Line C"/>
    <x v="1"/>
    <x v="0"/>
    <x v="71"/>
    <n v="26"/>
    <n v="28"/>
    <n v="726"/>
    <n v="3.457446808510638"/>
    <n v="96.542553191489361"/>
  </r>
  <r>
    <d v="2026-01-09T00:00:00"/>
    <s v="Line C"/>
    <x v="2"/>
    <x v="0"/>
    <x v="72"/>
    <n v="28"/>
    <n v="74"/>
    <n v="614"/>
    <n v="4.361370716510903"/>
    <n v="95.638629283489095"/>
  </r>
  <r>
    <d v="2026-01-10T00:00:00"/>
    <s v="Line A"/>
    <x v="0"/>
    <x v="2"/>
    <x v="73"/>
    <n v="14"/>
    <n v="89"/>
    <n v="969"/>
    <n v="1.424211597151577"/>
    <n v="98.575788402848417"/>
  </r>
  <r>
    <d v="2026-01-10T00:00:00"/>
    <s v="Line A"/>
    <x v="1"/>
    <x v="3"/>
    <x v="45"/>
    <n v="12"/>
    <n v="49"/>
    <n v="826"/>
    <n v="1.431980906921241"/>
    <n v="98.56801909307876"/>
  </r>
  <r>
    <d v="2026-01-10T00:00:00"/>
    <s v="Line A"/>
    <x v="2"/>
    <x v="2"/>
    <x v="74"/>
    <n v="22"/>
    <n v="52"/>
    <n v="890"/>
    <n v="2.4122807017543861"/>
    <n v="97.587719298245617"/>
  </r>
  <r>
    <d v="2026-01-10T00:00:00"/>
    <s v="Line B"/>
    <x v="0"/>
    <x v="1"/>
    <x v="75"/>
    <n v="28"/>
    <n v="6"/>
    <n v="828"/>
    <n v="3.2710280373831768"/>
    <n v="96.728971962616825"/>
  </r>
  <r>
    <d v="2026-01-10T00:00:00"/>
    <s v="Line B"/>
    <x v="1"/>
    <x v="1"/>
    <x v="76"/>
    <n v="26"/>
    <n v="14"/>
    <n v="777"/>
    <n v="3.2378580323785799"/>
    <n v="96.762141967621417"/>
  </r>
  <r>
    <d v="2026-01-10T00:00:00"/>
    <s v="Line B"/>
    <x v="2"/>
    <x v="2"/>
    <x v="77"/>
    <n v="27"/>
    <n v="40"/>
    <n v="772"/>
    <n v="3.3792240300375469"/>
    <n v="96.620775969962452"/>
  </r>
  <r>
    <d v="2026-01-10T00:00:00"/>
    <s v="Line C"/>
    <x v="0"/>
    <x v="3"/>
    <x v="78"/>
    <n v="28"/>
    <n v="21"/>
    <n v="787"/>
    <n v="3.4355828220858902"/>
    <n v="96.564417177914109"/>
  </r>
  <r>
    <d v="2026-01-10T00:00:00"/>
    <s v="Line C"/>
    <x v="1"/>
    <x v="3"/>
    <x v="79"/>
    <n v="23"/>
    <n v="67"/>
    <n v="639"/>
    <n v="3.4743202416918431"/>
    <n v="96.525679758308158"/>
  </r>
  <r>
    <d v="2026-01-10T00:00:00"/>
    <s v="Line C"/>
    <x v="2"/>
    <x v="2"/>
    <x v="80"/>
    <n v="36"/>
    <n v="4"/>
    <n v="770"/>
    <n v="4.4665012406947886"/>
    <n v="95.533498759305218"/>
  </r>
  <r>
    <d v="2026-01-11T00:00:00"/>
    <s v="Line A"/>
    <x v="0"/>
    <x v="2"/>
    <x v="81"/>
    <n v="14"/>
    <n v="84"/>
    <n v="940"/>
    <n v="1.467505241090147"/>
    <n v="98.532494758909849"/>
  </r>
  <r>
    <d v="2026-01-11T00:00:00"/>
    <s v="Line A"/>
    <x v="1"/>
    <x v="1"/>
    <x v="82"/>
    <n v="18"/>
    <n v="69"/>
    <n v="794"/>
    <n v="2.216748768472907"/>
    <n v="97.783251231527089"/>
  </r>
  <r>
    <d v="2026-01-11T00:00:00"/>
    <s v="Line A"/>
    <x v="2"/>
    <x v="1"/>
    <x v="83"/>
    <n v="25"/>
    <n v="58"/>
    <n v="753"/>
    <n v="3.2133676092544992"/>
    <n v="96.786632390745496"/>
  </r>
  <r>
    <d v="2026-01-11T00:00:00"/>
    <s v="Line B"/>
    <x v="0"/>
    <x v="2"/>
    <x v="84"/>
    <n v="24"/>
    <n v="24"/>
    <n v="964"/>
    <n v="2.42914979757085"/>
    <n v="97.570850202429142"/>
  </r>
  <r>
    <d v="2026-01-11T00:00:00"/>
    <s v="Line B"/>
    <x v="1"/>
    <x v="3"/>
    <x v="85"/>
    <n v="19"/>
    <n v="82"/>
    <n v="754"/>
    <n v="2.4579560155239331"/>
    <n v="97.542043984476066"/>
  </r>
  <r>
    <d v="2026-01-11T00:00:00"/>
    <s v="Line B"/>
    <x v="2"/>
    <x v="3"/>
    <x v="85"/>
    <n v="27"/>
    <n v="31"/>
    <n v="746"/>
    <n v="3.492884864165589"/>
    <n v="96.507115135834411"/>
  </r>
  <r>
    <d v="2026-01-11T00:00:00"/>
    <s v="Line C"/>
    <x v="0"/>
    <x v="2"/>
    <x v="86"/>
    <n v="27"/>
    <n v="72"/>
    <n v="763"/>
    <n v="3.4177215189873422"/>
    <n v="96.582278481012665"/>
  </r>
  <r>
    <d v="2026-01-11T00:00:00"/>
    <s v="Line C"/>
    <x v="1"/>
    <x v="1"/>
    <x v="87"/>
    <n v="30"/>
    <n v="3"/>
    <n v="689"/>
    <n v="4.1724617524339358"/>
    <n v="95.827538247566068"/>
  </r>
  <r>
    <d v="2026-01-11T00:00:00"/>
    <s v="Line C"/>
    <x v="2"/>
    <x v="1"/>
    <x v="79"/>
    <n v="35"/>
    <n v="19"/>
    <n v="627"/>
    <n v="5.287009063444108"/>
    <n v="94.712990936555897"/>
  </r>
  <r>
    <d v="2026-01-12T00:00:00"/>
    <s v="Line A"/>
    <x v="0"/>
    <x v="2"/>
    <x v="88"/>
    <n v="14"/>
    <n v="85"/>
    <n v="946"/>
    <n v="1.458333333333333"/>
    <n v="98.541666666666671"/>
  </r>
  <r>
    <d v="2026-01-12T00:00:00"/>
    <s v="Line A"/>
    <x v="1"/>
    <x v="1"/>
    <x v="89"/>
    <n v="17"/>
    <n v="87"/>
    <n v="732"/>
    <n v="2.2696929238985319"/>
    <n v="97.730307076101468"/>
  </r>
  <r>
    <d v="2026-01-12T00:00:00"/>
    <s v="Line A"/>
    <x v="2"/>
    <x v="1"/>
    <x v="90"/>
    <n v="24"/>
    <n v="40"/>
    <n v="705"/>
    <n v="3.2921810699588478"/>
    <n v="96.707818930041157"/>
  </r>
  <r>
    <d v="2026-01-12T00:00:00"/>
    <s v="Line B"/>
    <x v="0"/>
    <x v="2"/>
    <x v="91"/>
    <n v="22"/>
    <n v="48"/>
    <n v="872"/>
    <n v="2.4608501118568231"/>
    <n v="97.539149888143172"/>
  </r>
  <r>
    <d v="2026-01-12T00:00:00"/>
    <s v="Line B"/>
    <x v="1"/>
    <x v="3"/>
    <x v="92"/>
    <n v="20"/>
    <n v="24"/>
    <n v="784"/>
    <n v="2.487562189054727"/>
    <n v="97.512437810945272"/>
  </r>
  <r>
    <d v="2026-01-12T00:00:00"/>
    <s v="Line A"/>
    <x v="2"/>
    <x v="3"/>
    <x v="93"/>
    <n v="28"/>
    <n v="6"/>
    <n v="789"/>
    <n v="3.4271725826193391"/>
    <n v="96.572827417380651"/>
  </r>
  <r>
    <d v="2026-01-12T00:00:00"/>
    <s v="Line C"/>
    <x v="0"/>
    <x v="1"/>
    <x v="94"/>
    <n v="31"/>
    <n v="24"/>
    <n v="697"/>
    <n v="4.2582417582417582"/>
    <n v="95.741758241758248"/>
  </r>
  <r>
    <d v="2026-01-12T00:00:00"/>
    <s v="Line C"/>
    <x v="1"/>
    <x v="0"/>
    <x v="95"/>
    <n v="25"/>
    <n v="46"/>
    <n v="695"/>
    <n v="3.4722222222222219"/>
    <n v="96.527777777777786"/>
  </r>
  <r>
    <d v="2026-01-12T00:00:00"/>
    <s v="Line C"/>
    <x v="2"/>
    <x v="1"/>
    <x v="96"/>
    <n v="31"/>
    <n v="57"/>
    <n v="571"/>
    <n v="5.1495016611295679"/>
    <n v="94.850498338870437"/>
  </r>
  <r>
    <d v="2026-01-13T00:00:00"/>
    <s v="Line A"/>
    <x v="0"/>
    <x v="3"/>
    <x v="97"/>
    <n v="13"/>
    <n v="65"/>
    <n v="867"/>
    <n v="1.4772727272727271"/>
    <n v="98.522727272727266"/>
  </r>
  <r>
    <d v="2026-01-13T00:00:00"/>
    <s v="Line A"/>
    <x v="1"/>
    <x v="1"/>
    <x v="98"/>
    <n v="18"/>
    <n v="46"/>
    <n v="767"/>
    <n v="2.2929936305732479"/>
    <n v="97.70700636942675"/>
  </r>
  <r>
    <d v="2026-01-13T00:00:00"/>
    <s v="Line A"/>
    <x v="2"/>
    <x v="2"/>
    <x v="99"/>
    <n v="24"/>
    <n v="6"/>
    <n v="973"/>
    <n v="2.4072216649949851"/>
    <n v="97.592778335005022"/>
  </r>
  <r>
    <d v="2026-01-13T00:00:00"/>
    <s v="Line B"/>
    <x v="0"/>
    <x v="0"/>
    <x v="100"/>
    <n v="23"/>
    <n v="11"/>
    <n v="936"/>
    <n v="2.3983315954118871"/>
    <n v="97.601668404588111"/>
  </r>
  <r>
    <d v="2026-01-13T00:00:00"/>
    <s v="Line B"/>
    <x v="1"/>
    <x v="2"/>
    <x v="14"/>
    <n v="20"/>
    <n v="85"/>
    <n v="794"/>
    <n v="2.4570024570024569"/>
    <n v="97.54299754299754"/>
  </r>
  <r>
    <d v="2026-01-13T00:00:00"/>
    <s v="Line B"/>
    <x v="2"/>
    <x v="1"/>
    <x v="101"/>
    <n v="30"/>
    <n v="6"/>
    <n v="675"/>
    <n v="4.2553191489361701"/>
    <n v="95.744680851063833"/>
  </r>
  <r>
    <d v="2026-01-13T00:00:00"/>
    <s v="Line C"/>
    <x v="0"/>
    <x v="2"/>
    <x v="19"/>
    <n v="30"/>
    <n v="49"/>
    <n v="833"/>
    <n v="3.4762456546929319"/>
    <n v="96.523754345307069"/>
  </r>
  <r>
    <d v="2026-01-13T00:00:00"/>
    <s v="Line C"/>
    <x v="1"/>
    <x v="3"/>
    <x v="59"/>
    <n v="25"/>
    <n v="5"/>
    <n v="701"/>
    <n v="3.443526170798898"/>
    <n v="96.55647382920111"/>
  </r>
  <r>
    <d v="2026-01-13T00:00:00"/>
    <s v="Line C"/>
    <x v="2"/>
    <x v="3"/>
    <x v="102"/>
    <n v="27"/>
    <n v="87"/>
    <n v="592"/>
    <n v="4.3618739903069468"/>
    <n v="95.638126009693053"/>
  </r>
  <r>
    <d v="2026-01-14T00:00:00"/>
    <s v="Line A"/>
    <x v="0"/>
    <x v="3"/>
    <x v="51"/>
    <n v="13"/>
    <n v="13"/>
    <n v="917"/>
    <n v="1.397849462365591"/>
    <n v="98.602150537634401"/>
  </r>
  <r>
    <d v="2026-01-14T00:00:00"/>
    <s v="Line A"/>
    <x v="1"/>
    <x v="0"/>
    <x v="103"/>
    <n v="13"/>
    <n v="53"/>
    <n v="872"/>
    <n v="1.4689265536723159"/>
    <n v="98.531073446327682"/>
  </r>
  <r>
    <d v="2026-01-14T00:00:00"/>
    <s v="Line A"/>
    <x v="2"/>
    <x v="2"/>
    <x v="104"/>
    <n v="21"/>
    <n v="65"/>
    <n v="857"/>
    <n v="2.391799544419134"/>
    <n v="97.608200455580857"/>
  </r>
  <r>
    <d v="2026-01-14T00:00:00"/>
    <s v="Line B"/>
    <x v="0"/>
    <x v="1"/>
    <x v="49"/>
    <n v="23"/>
    <n v="85"/>
    <n v="701"/>
    <n v="3.1767955801104981"/>
    <n v="96.823204419889507"/>
  </r>
  <r>
    <d v="2026-01-14T00:00:00"/>
    <s v="Line B"/>
    <x v="1"/>
    <x v="0"/>
    <x v="105"/>
    <n v="22"/>
    <n v="16"/>
    <n v="878"/>
    <n v="2.4444444444444451"/>
    <n v="97.555555555555557"/>
  </r>
  <r>
    <d v="2026-01-14T00:00:00"/>
    <s v="Line B"/>
    <x v="2"/>
    <x v="1"/>
    <x v="21"/>
    <n v="31"/>
    <n v="3"/>
    <n v="690"/>
    <n v="4.2995839112343974"/>
    <n v="95.700416088765607"/>
  </r>
  <r>
    <d v="2026-01-14T00:00:00"/>
    <s v="Line C"/>
    <x v="0"/>
    <x v="0"/>
    <x v="87"/>
    <n v="25"/>
    <n v="87"/>
    <n v="694"/>
    <n v="3.4770514603616132"/>
    <n v="96.522948539638392"/>
  </r>
  <r>
    <d v="2026-01-14T00:00:00"/>
    <s v="Line C"/>
    <x v="1"/>
    <x v="3"/>
    <x v="106"/>
    <n v="25"/>
    <n v="25"/>
    <n v="713"/>
    <n v="3.3875338753387529"/>
    <n v="96.612466124661239"/>
  </r>
  <r>
    <d v="2026-01-14T00:00:00"/>
    <s v="Line C"/>
    <x v="2"/>
    <x v="1"/>
    <x v="107"/>
    <n v="30"/>
    <n v="75"/>
    <n v="553"/>
    <n v="5.1457975986277873"/>
    <n v="94.854202401372206"/>
  </r>
  <r>
    <d v="2026-01-15T00:00:00"/>
    <s v="Line A"/>
    <x v="0"/>
    <x v="0"/>
    <x v="108"/>
    <n v="13"/>
    <n v="79"/>
    <n v="894"/>
    <n v="1.4332965821389201"/>
    <n v="98.566703417861078"/>
  </r>
  <r>
    <d v="2026-01-15T00:00:00"/>
    <s v="Line A"/>
    <x v="1"/>
    <x v="1"/>
    <x v="54"/>
    <n v="16"/>
    <n v="90"/>
    <n v="720"/>
    <n v="2.1739130434782612"/>
    <n v="97.826086956521735"/>
  </r>
  <r>
    <d v="2026-01-15T00:00:00"/>
    <s v="Line A"/>
    <x v="2"/>
    <x v="2"/>
    <x v="109"/>
    <n v="24"/>
    <n v="4"/>
    <n v="967"/>
    <n v="2.421796165489404"/>
    <n v="97.578203834510589"/>
  </r>
  <r>
    <d v="2026-01-15T00:00:00"/>
    <s v="Line B"/>
    <x v="0"/>
    <x v="3"/>
    <x v="94"/>
    <n v="18"/>
    <n v="90"/>
    <n v="710"/>
    <n v="2.4725274725274731"/>
    <n v="97.527472527472526"/>
  </r>
  <r>
    <d v="2026-01-15T00:00:00"/>
    <s v="Line B"/>
    <x v="1"/>
    <x v="3"/>
    <x v="110"/>
    <n v="19"/>
    <n v="14"/>
    <n v="776"/>
    <n v="2.3899371069182389"/>
    <n v="97.610062893081761"/>
  </r>
  <r>
    <d v="2026-01-15T00:00:00"/>
    <s v="Line B"/>
    <x v="2"/>
    <x v="2"/>
    <x v="5"/>
    <n v="27"/>
    <n v="90"/>
    <n v="756"/>
    <n v="3.4482758620689649"/>
    <n v="96.551724137931032"/>
  </r>
  <r>
    <d v="2026-01-15T00:00:00"/>
    <s v="Line C"/>
    <x v="0"/>
    <x v="3"/>
    <x v="111"/>
    <n v="26"/>
    <n v="22"/>
    <n v="717"/>
    <n v="3.4993270524899049"/>
    <n v="96.500672947510097"/>
  </r>
  <r>
    <d v="2026-01-15T00:00:00"/>
    <s v="Line C"/>
    <x v="1"/>
    <x v="1"/>
    <x v="112"/>
    <n v="27"/>
    <n v="50"/>
    <n v="608"/>
    <n v="4.2519685039370074"/>
    <n v="95.748031496062993"/>
  </r>
  <r>
    <d v="2026-01-15T00:00:00"/>
    <s v="Line C"/>
    <x v="2"/>
    <x v="0"/>
    <x v="113"/>
    <n v="29"/>
    <n v="89"/>
    <n v="616"/>
    <n v="4.4961240310077519"/>
    <n v="95.503875968992247"/>
  </r>
  <r>
    <d v="2026-01-16T00:00:00"/>
    <s v="Line A"/>
    <x v="0"/>
    <x v="1"/>
    <x v="114"/>
    <n v="19"/>
    <n v="72"/>
    <n v="808"/>
    <n v="2.2974607013301092"/>
    <n v="97.70253929866989"/>
  </r>
  <r>
    <d v="2026-01-16T00:00:00"/>
    <s v="Line A"/>
    <x v="1"/>
    <x v="3"/>
    <x v="115"/>
    <n v="13"/>
    <n v="36"/>
    <n v="862"/>
    <n v="1.485714285714286"/>
    <n v="98.514285714285705"/>
  </r>
  <r>
    <d v="2026-01-16T00:00:00"/>
    <s v="Line A"/>
    <x v="2"/>
    <x v="0"/>
    <x v="116"/>
    <n v="22"/>
    <n v="23"/>
    <n v="880"/>
    <n v="2.4390243902439019"/>
    <n v="97.560975609756099"/>
  </r>
  <r>
    <d v="2026-01-16T00:00:00"/>
    <s v="Line B"/>
    <x v="0"/>
    <x v="0"/>
    <x v="117"/>
    <n v="23"/>
    <n v="29"/>
    <n v="914"/>
    <n v="2.454642475987193"/>
    <n v="97.545357524012815"/>
  </r>
  <r>
    <d v="2026-01-16T00:00:00"/>
    <s v="Line B"/>
    <x v="2"/>
    <x v="0"/>
    <x v="118"/>
    <n v="28"/>
    <n v="27"/>
    <n v="800"/>
    <n v="3.381642512077295"/>
    <n v="96.618357487922708"/>
  </r>
  <r>
    <d v="2026-01-16T00:00:00"/>
    <s v="Line C"/>
    <x v="0"/>
    <x v="2"/>
    <x v="119"/>
    <n v="30"/>
    <n v="2"/>
    <n v="829"/>
    <n v="3.49243306169965"/>
    <n v="96.507566938300343"/>
  </r>
  <r>
    <d v="2026-01-16T00:00:00"/>
    <s v="Line C"/>
    <x v="1"/>
    <x v="3"/>
    <x v="6"/>
    <n v="28"/>
    <n v="0"/>
    <n v="779"/>
    <n v="3.4696406443618342"/>
    <n v="96.530359355638168"/>
  </r>
  <r>
    <d v="2026-01-16T00:00:00"/>
    <s v="Line C"/>
    <x v="2"/>
    <x v="1"/>
    <x v="17"/>
    <n v="32"/>
    <n v="29"/>
    <n v="584"/>
    <n v="5.1948051948051948"/>
    <n v="94.805194805194802"/>
  </r>
  <r>
    <d v="2026-01-17T00:00:00"/>
    <s v="Line A"/>
    <x v="0"/>
    <x v="3"/>
    <x v="120"/>
    <n v="13"/>
    <n v="54"/>
    <n v="898"/>
    <n v="1.4270032930845229"/>
    <n v="98.572996706915475"/>
  </r>
  <r>
    <d v="2026-01-17T00:00:00"/>
    <s v="Line A"/>
    <x v="1"/>
    <x v="0"/>
    <x v="121"/>
    <n v="13"/>
    <n v="77"/>
    <n v="893"/>
    <n v="1.434878587196468"/>
    <n v="98.565121412803535"/>
  </r>
  <r>
    <d v="2026-01-17T00:00:00"/>
    <s v="Line A"/>
    <x v="2"/>
    <x v="3"/>
    <x v="122"/>
    <n v="21"/>
    <n v="24"/>
    <n v="849"/>
    <n v="2.4137931034482758"/>
    <n v="97.586206896551715"/>
  </r>
  <r>
    <d v="2026-01-17T00:00:00"/>
    <s v="Line B"/>
    <x v="0"/>
    <x v="3"/>
    <x v="123"/>
    <n v="20"/>
    <n v="48"/>
    <n v="815"/>
    <n v="2.395209580838324"/>
    <n v="97.604790419161674"/>
  </r>
  <r>
    <d v="2026-01-17T00:00:00"/>
    <s v="Line A"/>
    <x v="1"/>
    <x v="3"/>
    <x v="124"/>
    <n v="19"/>
    <n v="21"/>
    <n v="775"/>
    <n v="2.3929471032745591"/>
    <n v="97.607052896725449"/>
  </r>
  <r>
    <d v="2026-01-17T00:00:00"/>
    <s v="Line B"/>
    <x v="2"/>
    <x v="2"/>
    <x v="125"/>
    <n v="25"/>
    <n v="72"/>
    <n v="712"/>
    <n v="3.3921302578018988"/>
    <n v="96.607869742198105"/>
  </r>
  <r>
    <d v="2026-01-17T00:00:00"/>
    <s v="Line C"/>
    <x v="0"/>
    <x v="0"/>
    <x v="126"/>
    <n v="28"/>
    <n v="48"/>
    <n v="793"/>
    <n v="3.4104750304506699"/>
    <n v="96.589524969549331"/>
  </r>
  <r>
    <d v="2026-01-17T00:00:00"/>
    <s v="Line C"/>
    <x v="1"/>
    <x v="1"/>
    <x v="127"/>
    <n v="26"/>
    <n v="84"/>
    <n v="598"/>
    <n v="4.1666666666666661"/>
    <n v="95.833333333333343"/>
  </r>
  <r>
    <d v="2026-01-17T00:00:00"/>
    <s v="Line C"/>
    <x v="2"/>
    <x v="0"/>
    <x v="128"/>
    <n v="30"/>
    <n v="43"/>
    <n v="653"/>
    <n v="4.3923865300146412"/>
    <n v="95.607613469985367"/>
  </r>
  <r>
    <d v="2026-01-18T00:00:00"/>
    <s v="Line A"/>
    <x v="0"/>
    <x v="1"/>
    <x v="129"/>
    <n v="22"/>
    <n v="7"/>
    <n v="935"/>
    <n v="2.298850574712644"/>
    <n v="97.701149425287355"/>
  </r>
  <r>
    <d v="2026-01-18T00:00:00"/>
    <s v="Line A"/>
    <x v="1"/>
    <x v="2"/>
    <x v="130"/>
    <n v="14"/>
    <n v="26"/>
    <n v="981"/>
    <n v="1.4070351758793971"/>
    <n v="98.5929648241206"/>
  </r>
  <r>
    <d v="2026-01-18T00:00:00"/>
    <s v="Line A"/>
    <x v="2"/>
    <x v="0"/>
    <x v="131"/>
    <n v="22"/>
    <n v="44"/>
    <n v="864"/>
    <n v="2.483069977426636"/>
    <n v="97.516930022573362"/>
  </r>
  <r>
    <d v="2026-01-18T00:00:00"/>
    <s v="Line B"/>
    <x v="0"/>
    <x v="0"/>
    <x v="132"/>
    <n v="22"/>
    <n v="8"/>
    <n v="875"/>
    <n v="2.4526198439241922"/>
    <n v="97.547380156075818"/>
  </r>
  <r>
    <d v="2026-01-18T00:00:00"/>
    <s v="Line B"/>
    <x v="1"/>
    <x v="0"/>
    <x v="60"/>
    <n v="21"/>
    <n v="27"/>
    <n v="848"/>
    <n v="2.416570771001151"/>
    <n v="97.583429228998853"/>
  </r>
  <r>
    <d v="2026-01-18T00:00:00"/>
    <s v="Line B"/>
    <x v="2"/>
    <x v="3"/>
    <x v="15"/>
    <n v="26"/>
    <n v="46"/>
    <n v="718"/>
    <n v="3.4946236559139781"/>
    <n v="96.505376344086031"/>
  </r>
  <r>
    <d v="2026-01-18T00:00:00"/>
    <s v="Line C"/>
    <x v="0"/>
    <x v="0"/>
    <x v="133"/>
    <n v="25"/>
    <n v="88"/>
    <n v="706"/>
    <n v="3.4199726402188779"/>
    <n v="96.580027359781113"/>
  </r>
  <r>
    <d v="2026-01-18T00:00:00"/>
    <s v="Line C"/>
    <x v="1"/>
    <x v="2"/>
    <x v="134"/>
    <n v="29"/>
    <n v="22"/>
    <n v="800"/>
    <n v="3.4981905910735831"/>
    <n v="96.50180940892642"/>
  </r>
  <r>
    <d v="2026-01-19T00:00:00"/>
    <s v="Line A"/>
    <x v="0"/>
    <x v="1"/>
    <x v="135"/>
    <n v="20"/>
    <n v="46"/>
    <n v="871"/>
    <n v="2.244668911335578"/>
    <n v="97.75533108866442"/>
  </r>
  <r>
    <d v="2026-01-19T00:00:00"/>
    <s v="Line A"/>
    <x v="1"/>
    <x v="0"/>
    <x v="136"/>
    <n v="15"/>
    <n v="8"/>
    <n v="988"/>
    <n v="1.495513459621137"/>
    <n v="98.504486540378863"/>
  </r>
  <r>
    <d v="2026-01-19T00:00:00"/>
    <s v="Line A"/>
    <x v="2"/>
    <x v="1"/>
    <x v="137"/>
    <n v="23"/>
    <n v="73"/>
    <n v="689"/>
    <n v="3.2303370786516861"/>
    <n v="96.769662921348313"/>
  </r>
  <r>
    <d v="2026-01-19T00:00:00"/>
    <s v="Line B"/>
    <x v="0"/>
    <x v="2"/>
    <x v="138"/>
    <n v="23"/>
    <n v="13"/>
    <n v="911"/>
    <n v="2.462526766595289"/>
    <n v="97.537473233404711"/>
  </r>
  <r>
    <d v="2026-01-19T00:00:00"/>
    <s v="Line B"/>
    <x v="1"/>
    <x v="2"/>
    <x v="139"/>
    <n v="22"/>
    <n v="26"/>
    <n v="887"/>
    <n v="2.4202420242024201"/>
    <n v="97.579757975797577"/>
  </r>
  <r>
    <d v="2026-01-19T00:00:00"/>
    <s v="Line B"/>
    <x v="2"/>
    <x v="0"/>
    <x v="140"/>
    <n v="26"/>
    <n v="48"/>
    <n v="729"/>
    <n v="3.443708609271523"/>
    <n v="96.556291390728475"/>
  </r>
  <r>
    <d v="2026-01-19T00:00:00"/>
    <s v="Line C"/>
    <x v="0"/>
    <x v="1"/>
    <x v="141"/>
    <n v="28"/>
    <n v="73"/>
    <n v="633"/>
    <n v="4.236006051437216"/>
    <n v="95.763993948562785"/>
  </r>
  <r>
    <d v="2026-01-19T00:00:00"/>
    <s v="Line C"/>
    <x v="1"/>
    <x v="3"/>
    <x v="113"/>
    <n v="22"/>
    <n v="88"/>
    <n v="623"/>
    <n v="3.410852713178294"/>
    <n v="96.589147286821714"/>
  </r>
  <r>
    <d v="2026-01-19T00:00:00"/>
    <s v="Line C"/>
    <x v="2"/>
    <x v="0"/>
    <x v="63"/>
    <n v="30"/>
    <n v="29"/>
    <n v="650"/>
    <n v="4.4117647058823533"/>
    <n v="95.588235294117652"/>
  </r>
  <r>
    <d v="2026-01-20T00:00:00"/>
    <s v="Line A"/>
    <x v="0"/>
    <x v="2"/>
    <x v="142"/>
    <n v="13"/>
    <n v="86"/>
    <n v="911"/>
    <n v="1.4069264069264069"/>
    <n v="98.593073593073584"/>
  </r>
  <r>
    <d v="2026-01-20T00:00:00"/>
    <s v="Line A"/>
    <x v="1"/>
    <x v="0"/>
    <x v="115"/>
    <n v="13"/>
    <n v="69"/>
    <n v="862"/>
    <n v="1.485714285714286"/>
    <n v="98.514285714285705"/>
  </r>
  <r>
    <d v="2026-01-20T00:00:00"/>
    <s v="Line A"/>
    <x v="2"/>
    <x v="1"/>
    <x v="143"/>
    <n v="25"/>
    <n v="11"/>
    <n v="752"/>
    <n v="3.217503217503217"/>
    <n v="96.782496782496779"/>
  </r>
  <r>
    <d v="2026-01-20T00:00:00"/>
    <s v="Line B"/>
    <x v="0"/>
    <x v="2"/>
    <x v="144"/>
    <n v="21"/>
    <n v="80"/>
    <n v="824"/>
    <n v="2.4852071005917158"/>
    <n v="97.514792899408292"/>
  </r>
  <r>
    <d v="2026-01-20T00:00:00"/>
    <s v="Line B"/>
    <x v="1"/>
    <x v="0"/>
    <x v="124"/>
    <n v="19"/>
    <n v="52"/>
    <n v="775"/>
    <n v="2.3929471032745591"/>
    <n v="97.607052896725449"/>
  </r>
  <r>
    <d v="2026-01-20T00:00:00"/>
    <s v="Line B"/>
    <x v="2"/>
    <x v="2"/>
    <x v="55"/>
    <n v="29"/>
    <n v="34"/>
    <n v="814"/>
    <n v="3.4400948991696318"/>
    <n v="96.559905100830363"/>
  </r>
  <r>
    <d v="2026-01-20T00:00:00"/>
    <s v="Line C"/>
    <x v="0"/>
    <x v="1"/>
    <x v="145"/>
    <n v="30"/>
    <n v="10"/>
    <n v="687"/>
    <n v="4.1841004184100417"/>
    <n v="95.81589958158996"/>
  </r>
  <r>
    <d v="2026-01-20T00:00:00"/>
    <s v="Line C"/>
    <x v="1"/>
    <x v="1"/>
    <x v="146"/>
    <n v="29"/>
    <n v="26"/>
    <n v="663"/>
    <n v="4.1907514450867049"/>
    <n v="95.809248554913296"/>
  </r>
  <r>
    <d v="2026-01-20T00:00:00"/>
    <s v="Line C"/>
    <x v="2"/>
    <x v="1"/>
    <x v="147"/>
    <n v="32"/>
    <n v="39"/>
    <n v="588"/>
    <n v="5.161290322580645"/>
    <n v="94.838709677419359"/>
  </r>
  <r>
    <d v="2026-01-21T00:00:00"/>
    <s v="Line A"/>
    <x v="0"/>
    <x v="0"/>
    <x v="148"/>
    <n v="14"/>
    <n v="36"/>
    <n v="949"/>
    <n v="1.4537902388369679"/>
    <n v="98.546209761163027"/>
  </r>
  <r>
    <d v="2026-01-21T00:00:00"/>
    <s v="Line A"/>
    <x v="1"/>
    <x v="0"/>
    <x v="149"/>
    <n v="12"/>
    <n v="56"/>
    <n v="852"/>
    <n v="1.3888888888888891"/>
    <n v="98.611111111111114"/>
  </r>
  <r>
    <d v="2026-01-21T00:00:00"/>
    <s v="Line A"/>
    <x v="2"/>
    <x v="1"/>
    <x v="77"/>
    <n v="26"/>
    <n v="35"/>
    <n v="773"/>
    <n v="3.2540675844806008"/>
    <n v="96.745932415519391"/>
  </r>
  <r>
    <d v="2026-01-21T00:00:00"/>
    <s v="Line B"/>
    <x v="0"/>
    <x v="2"/>
    <x v="132"/>
    <n v="22"/>
    <n v="64"/>
    <n v="875"/>
    <n v="2.4526198439241922"/>
    <n v="97.547380156075818"/>
  </r>
  <r>
    <d v="2026-01-21T00:00:00"/>
    <s v="Line B"/>
    <x v="1"/>
    <x v="2"/>
    <x v="150"/>
    <n v="23"/>
    <n v="11"/>
    <n v="921"/>
    <n v="2.4364406779661021"/>
    <n v="97.563559322033896"/>
  </r>
  <r>
    <d v="2026-01-21T00:00:00"/>
    <s v="Line B"/>
    <x v="2"/>
    <x v="2"/>
    <x v="119"/>
    <n v="30"/>
    <n v="37"/>
    <n v="829"/>
    <n v="3.49243306169965"/>
    <n v="96.507566938300343"/>
  </r>
  <r>
    <d v="2026-01-21T00:00:00"/>
    <s v="Line C"/>
    <x v="0"/>
    <x v="1"/>
    <x v="151"/>
    <n v="28"/>
    <n v="62"/>
    <n v="638"/>
    <n v="4.2042042042042036"/>
    <n v="95.795795795795797"/>
  </r>
  <r>
    <d v="2026-01-21T00:00:00"/>
    <s v="Line C"/>
    <x v="1"/>
    <x v="3"/>
    <x v="95"/>
    <n v="25"/>
    <n v="14"/>
    <n v="695"/>
    <n v="3.4722222222222219"/>
    <n v="96.527777777777786"/>
  </r>
  <r>
    <d v="2026-01-21T00:00:00"/>
    <s v="Line C"/>
    <x v="2"/>
    <x v="3"/>
    <x v="152"/>
    <n v="30"/>
    <n v="57"/>
    <n v="646"/>
    <n v="4.4378698224852071"/>
    <n v="95.562130177514788"/>
  </r>
  <r>
    <d v="2026-01-22T00:00:00"/>
    <s v="Line A"/>
    <x v="0"/>
    <x v="0"/>
    <x v="27"/>
    <n v="15"/>
    <n v="42"/>
    <n v="1003"/>
    <n v="1.473477406679764"/>
    <n v="98.526522593320237"/>
  </r>
  <r>
    <d v="2026-01-22T00:00:00"/>
    <s v="Line A"/>
    <x v="1"/>
    <x v="3"/>
    <x v="153"/>
    <n v="14"/>
    <n v="16"/>
    <n v="926"/>
    <n v="1.4893617021276599"/>
    <n v="98.510638297872347"/>
  </r>
  <r>
    <d v="2026-01-22T00:00:00"/>
    <s v="Line A"/>
    <x v="2"/>
    <x v="0"/>
    <x v="154"/>
    <n v="21"/>
    <n v="66"/>
    <n v="837"/>
    <n v="2.4475524475524471"/>
    <n v="97.552447552447546"/>
  </r>
  <r>
    <d v="2026-01-22T00:00:00"/>
    <s v="Line B"/>
    <x v="0"/>
    <x v="3"/>
    <x v="47"/>
    <n v="20"/>
    <n v="38"/>
    <n v="806"/>
    <n v="2.4213075060532692"/>
    <n v="97.578692493946733"/>
  </r>
  <r>
    <d v="2026-01-22T00:00:00"/>
    <s v="Line B"/>
    <x v="1"/>
    <x v="2"/>
    <x v="155"/>
    <n v="21"/>
    <n v="67"/>
    <n v="821"/>
    <n v="2.4940617577197148"/>
    <n v="97.505938242280294"/>
  </r>
  <r>
    <d v="2026-01-22T00:00:00"/>
    <s v="Line B"/>
    <x v="2"/>
    <x v="0"/>
    <x v="44"/>
    <n v="29"/>
    <n v="24"/>
    <n v="811"/>
    <n v="3.452380952380953"/>
    <n v="96.547619047619051"/>
  </r>
  <r>
    <d v="2026-01-22T00:00:00"/>
    <s v="Line C"/>
    <x v="0"/>
    <x v="0"/>
    <x v="11"/>
    <n v="28"/>
    <n v="12"/>
    <n v="790"/>
    <n v="3.4229828850855739"/>
    <n v="96.577017114914426"/>
  </r>
  <r>
    <d v="2026-01-22T00:00:00"/>
    <s v="Line C"/>
    <x v="1"/>
    <x v="1"/>
    <x v="145"/>
    <n v="30"/>
    <n v="14"/>
    <n v="687"/>
    <n v="4.1841004184100417"/>
    <n v="95.81589958158996"/>
  </r>
  <r>
    <d v="2026-01-22T00:00:00"/>
    <s v="Line C"/>
    <x v="2"/>
    <x v="1"/>
    <x v="128"/>
    <n v="36"/>
    <n v="19"/>
    <n v="647"/>
    <n v="5.2708638360175701"/>
    <n v="94.729136163982432"/>
  </r>
  <r>
    <d v="2026-01-23T00:00:00"/>
    <s v="Line A"/>
    <x v="0"/>
    <x v="0"/>
    <x v="156"/>
    <n v="14"/>
    <n v="34"/>
    <n v="958"/>
    <n v="1.440329218106996"/>
    <n v="98.559670781893004"/>
  </r>
  <r>
    <d v="2026-01-23T00:00:00"/>
    <s v="Line A"/>
    <x v="1"/>
    <x v="0"/>
    <x v="157"/>
    <n v="13"/>
    <n v="54"/>
    <n v="883"/>
    <n v="1.450892857142857"/>
    <n v="98.549107142857139"/>
  </r>
  <r>
    <d v="2026-01-23T00:00:00"/>
    <s v="Line A"/>
    <x v="2"/>
    <x v="2"/>
    <x v="131"/>
    <n v="22"/>
    <n v="69"/>
    <n v="864"/>
    <n v="2.483069977426636"/>
    <n v="97.516930022573362"/>
  </r>
  <r>
    <d v="2026-01-23T00:00:00"/>
    <s v="Line B"/>
    <x v="0"/>
    <x v="3"/>
    <x v="48"/>
    <n v="19"/>
    <n v="87"/>
    <n v="747"/>
    <n v="2.4804177545691899"/>
    <n v="97.519582245430811"/>
  </r>
  <r>
    <d v="2026-01-23T00:00:00"/>
    <s v="Line B"/>
    <x v="1"/>
    <x v="1"/>
    <x v="125"/>
    <n v="24"/>
    <n v="57"/>
    <n v="713"/>
    <n v="3.256445047489823"/>
    <n v="96.743554952510181"/>
  </r>
  <r>
    <d v="2026-01-23T00:00:00"/>
    <s v="Line B"/>
    <x v="2"/>
    <x v="2"/>
    <x v="158"/>
    <n v="26"/>
    <n v="88"/>
    <n v="721"/>
    <n v="3.4805890227576981"/>
    <n v="96.519410977242302"/>
  </r>
  <r>
    <d v="2026-01-23T00:00:00"/>
    <s v="Line C"/>
    <x v="0"/>
    <x v="0"/>
    <x v="159"/>
    <n v="27"/>
    <n v="51"/>
    <n v="769"/>
    <n v="3.391959798994975"/>
    <n v="96.608040201005025"/>
  </r>
  <r>
    <d v="2026-01-23T00:00:00"/>
    <s v="Line C"/>
    <x v="1"/>
    <x v="2"/>
    <x v="160"/>
    <n v="28"/>
    <n v="41"/>
    <n v="774"/>
    <n v="3.491271820448878"/>
    <n v="96.508728179551113"/>
  </r>
  <r>
    <d v="2026-01-23T00:00:00"/>
    <s v="Line C"/>
    <x v="2"/>
    <x v="3"/>
    <x v="161"/>
    <n v="27"/>
    <n v="67"/>
    <n v="587"/>
    <n v="4.3973941368078178"/>
    <n v="95.602605863192181"/>
  </r>
  <r>
    <d v="2026-01-24T00:00:00"/>
    <s v="Line A"/>
    <x v="0"/>
    <x v="1"/>
    <x v="162"/>
    <n v="22"/>
    <n v="6"/>
    <n v="942"/>
    <n v="2.282157676348548"/>
    <n v="97.717842323651453"/>
  </r>
  <r>
    <d v="2026-01-24T00:00:00"/>
    <s v="Line A"/>
    <x v="1"/>
    <x v="1"/>
    <x v="163"/>
    <n v="17"/>
    <n v="76"/>
    <n v="734"/>
    <n v="2.2636484687083889"/>
    <n v="97.736351531291604"/>
  </r>
  <r>
    <d v="2026-01-24T00:00:00"/>
    <s v="Line A"/>
    <x v="2"/>
    <x v="0"/>
    <x v="164"/>
    <n v="20"/>
    <n v="59"/>
    <n v="800"/>
    <n v="2.4390243902439019"/>
    <n v="97.560975609756099"/>
  </r>
  <r>
    <d v="2026-01-24T00:00:00"/>
    <s v="Line B"/>
    <x v="0"/>
    <x v="0"/>
    <x v="165"/>
    <n v="20"/>
    <n v="64"/>
    <n v="819"/>
    <n v="2.383790226460071"/>
    <n v="97.616209773539936"/>
  </r>
  <r>
    <d v="2026-01-24T00:00:00"/>
    <s v="Line B"/>
    <x v="1"/>
    <x v="1"/>
    <x v="166"/>
    <n v="24"/>
    <n v="48"/>
    <n v="711"/>
    <n v="3.2653061224489801"/>
    <n v="96.734693877551024"/>
  </r>
  <r>
    <d v="2026-01-24T00:00:00"/>
    <s v="Line B"/>
    <x v="2"/>
    <x v="0"/>
    <x v="167"/>
    <n v="26"/>
    <n v="35"/>
    <n v="745"/>
    <n v="3.3722438391699092"/>
    <n v="96.627756160830089"/>
  </r>
  <r>
    <d v="2026-01-24T00:00:00"/>
    <s v="Line C"/>
    <x v="1"/>
    <x v="1"/>
    <x v="94"/>
    <n v="31"/>
    <n v="8"/>
    <n v="697"/>
    <n v="4.2582417582417582"/>
    <n v="95.741758241758248"/>
  </r>
  <r>
    <d v="2026-01-24T00:00:00"/>
    <s v="Line C"/>
    <x v="2"/>
    <x v="2"/>
    <x v="82"/>
    <n v="36"/>
    <n v="2"/>
    <n v="776"/>
    <n v="4.4334975369458132"/>
    <n v="95.566502463054192"/>
  </r>
  <r>
    <d v="2026-01-25T00:00:00"/>
    <s v="Line A"/>
    <x v="0"/>
    <x v="2"/>
    <x v="168"/>
    <n v="13"/>
    <n v="85"/>
    <n v="885"/>
    <n v="1.4476614699331849"/>
    <n v="98.55233853006682"/>
  </r>
  <r>
    <d v="2026-01-25T00:00:00"/>
    <s v="Line A"/>
    <x v="1"/>
    <x v="2"/>
    <x v="169"/>
    <n v="15"/>
    <n v="24"/>
    <n v="1031"/>
    <n v="1.434034416826004"/>
    <n v="98.565965583173991"/>
  </r>
  <r>
    <d v="2026-01-25T00:00:00"/>
    <s v="Line A"/>
    <x v="2"/>
    <x v="0"/>
    <x v="46"/>
    <n v="20"/>
    <n v="45"/>
    <n v="810"/>
    <n v="2.4096385542168681"/>
    <n v="97.590361445783131"/>
  </r>
  <r>
    <d v="2026-01-25T00:00:00"/>
    <s v="Line B"/>
    <x v="0"/>
    <x v="0"/>
    <x v="170"/>
    <n v="24"/>
    <n v="0"/>
    <n v="950"/>
    <n v="2.4640657084188908"/>
    <n v="97.5359342915811"/>
  </r>
  <r>
    <d v="2026-01-25T00:00:00"/>
    <s v="Line B"/>
    <x v="1"/>
    <x v="2"/>
    <x v="19"/>
    <n v="21"/>
    <n v="49"/>
    <n v="842"/>
    <n v="2.4333719582850519"/>
    <n v="97.566628041714949"/>
  </r>
  <r>
    <d v="2026-01-25T00:00:00"/>
    <s v="Line B"/>
    <x v="2"/>
    <x v="2"/>
    <x v="98"/>
    <n v="27"/>
    <n v="66"/>
    <n v="758"/>
    <n v="3.4394904458598732"/>
    <n v="96.560509554140125"/>
  </r>
  <r>
    <d v="2026-01-25T00:00:00"/>
    <s v="Line C"/>
    <x v="0"/>
    <x v="1"/>
    <x v="171"/>
    <n v="29"/>
    <n v="41"/>
    <n v="655"/>
    <n v="4.2397660818713447"/>
    <n v="95.760233918128662"/>
  </r>
  <r>
    <d v="2026-01-25T00:00:00"/>
    <s v="Line C"/>
    <x v="1"/>
    <x v="0"/>
    <x v="172"/>
    <n v="25"/>
    <n v="75"/>
    <n v="715"/>
    <n v="3.378378378378379"/>
    <n v="96.621621621621628"/>
  </r>
  <r>
    <d v="2026-01-25T00:00:00"/>
    <s v="Line C"/>
    <x v="2"/>
    <x v="2"/>
    <x v="173"/>
    <n v="33"/>
    <n v="38"/>
    <n v="721"/>
    <n v="4.3766578249336874"/>
    <n v="95.623342175066313"/>
  </r>
  <r>
    <d v="2026-01-26T00:00:00"/>
    <s v="Line A"/>
    <x v="0"/>
    <x v="1"/>
    <x v="174"/>
    <n v="21"/>
    <n v="2"/>
    <n v="926"/>
    <n v="2.2175290390707501"/>
    <n v="97.782470960929246"/>
  </r>
  <r>
    <d v="2026-01-26T00:00:00"/>
    <s v="Line A"/>
    <x v="1"/>
    <x v="0"/>
    <x v="175"/>
    <n v="14"/>
    <n v="20"/>
    <n v="929"/>
    <n v="1.484623541887593"/>
    <n v="98.515376458112399"/>
  </r>
  <r>
    <d v="2026-01-26T00:00:00"/>
    <s v="Line A"/>
    <x v="2"/>
    <x v="0"/>
    <x v="62"/>
    <n v="21"/>
    <n v="62"/>
    <n v="839"/>
    <n v="2.441860465116279"/>
    <n v="97.558139534883722"/>
  </r>
  <r>
    <d v="2026-01-26T00:00:00"/>
    <s v="Line B"/>
    <x v="0"/>
    <x v="1"/>
    <x v="31"/>
    <n v="26"/>
    <n v="18"/>
    <n v="766"/>
    <n v="3.2828282828282829"/>
    <n v="96.717171717171709"/>
  </r>
  <r>
    <d v="2026-01-26T00:00:00"/>
    <s v="Line B"/>
    <x v="1"/>
    <x v="1"/>
    <x v="176"/>
    <n v="23"/>
    <n v="72"/>
    <n v="687"/>
    <n v="3.23943661971831"/>
    <n v="96.760563380281695"/>
  </r>
  <r>
    <d v="2026-01-26T00:00:00"/>
    <s v="Line B"/>
    <x v="2"/>
    <x v="2"/>
    <x v="177"/>
    <n v="28"/>
    <n v="55"/>
    <n v="781"/>
    <n v="3.4610630407911001"/>
    <n v="96.538936959208897"/>
  </r>
  <r>
    <d v="2026-01-26T00:00:00"/>
    <s v="Line C"/>
    <x v="0"/>
    <x v="2"/>
    <x v="178"/>
    <n v="30"/>
    <n v="3"/>
    <n v="831"/>
    <n v="3.484320557491289"/>
    <n v="96.515679442508713"/>
  </r>
  <r>
    <d v="2026-01-26T00:00:00"/>
    <s v="Line C"/>
    <x v="1"/>
    <x v="2"/>
    <x v="179"/>
    <n v="29"/>
    <n v="33"/>
    <n v="808"/>
    <n v="3.4647550776583032"/>
    <n v="96.535244922341704"/>
  </r>
  <r>
    <d v="2026-01-27T00:00:00"/>
    <s v="Line A"/>
    <x v="0"/>
    <x v="3"/>
    <x v="52"/>
    <n v="14"/>
    <n v="10"/>
    <n v="934"/>
    <n v="1.4767932489451481"/>
    <n v="98.523206751054843"/>
  </r>
  <r>
    <d v="2026-01-27T00:00:00"/>
    <s v="Line A"/>
    <x v="1"/>
    <x v="2"/>
    <x v="180"/>
    <n v="14"/>
    <n v="44"/>
    <n v="931"/>
    <n v="1.4814814814814821"/>
    <n v="98.518518518518519"/>
  </r>
  <r>
    <d v="2026-01-27T00:00:00"/>
    <s v="Line A"/>
    <x v="2"/>
    <x v="3"/>
    <x v="83"/>
    <n v="19"/>
    <n v="77"/>
    <n v="759"/>
    <n v="2.442159383033419"/>
    <n v="97.557840616966587"/>
  </r>
  <r>
    <d v="2026-01-27T00:00:00"/>
    <s v="Line B"/>
    <x v="0"/>
    <x v="2"/>
    <x v="108"/>
    <n v="22"/>
    <n v="60"/>
    <n v="885"/>
    <n v="2.4255788313120181"/>
    <n v="97.574421168687991"/>
  </r>
  <r>
    <d v="2026-01-27T00:00:00"/>
    <s v="Line A"/>
    <x v="1"/>
    <x v="2"/>
    <x v="91"/>
    <n v="22"/>
    <n v="9"/>
    <n v="872"/>
    <n v="2.4608501118568231"/>
    <n v="97.539149888143172"/>
  </r>
  <r>
    <d v="2026-01-27T00:00:00"/>
    <s v="Line B"/>
    <x v="2"/>
    <x v="2"/>
    <x v="181"/>
    <n v="27"/>
    <n v="45"/>
    <n v="757"/>
    <n v="3.443877551020408"/>
    <n v="96.556122448979593"/>
  </r>
  <r>
    <d v="2026-01-27T00:00:00"/>
    <s v="Line C"/>
    <x v="0"/>
    <x v="0"/>
    <x v="93"/>
    <n v="28"/>
    <n v="16"/>
    <n v="789"/>
    <n v="3.4271725826193391"/>
    <n v="96.572827417380651"/>
  </r>
  <r>
    <d v="2026-01-27T00:00:00"/>
    <s v="Line C"/>
    <x v="1"/>
    <x v="2"/>
    <x v="182"/>
    <n v="26"/>
    <n v="62"/>
    <n v="741"/>
    <n v="3.3898305084745761"/>
    <n v="96.610169491525426"/>
  </r>
  <r>
    <d v="2026-01-27T00:00:00"/>
    <s v="Line C"/>
    <x v="2"/>
    <x v="2"/>
    <x v="183"/>
    <n v="34"/>
    <n v="5"/>
    <n v="741"/>
    <n v="4.387096774193548"/>
    <n v="95.612903225806463"/>
  </r>
  <r>
    <d v="2026-01-28T00:00:00"/>
    <s v="Line A"/>
    <x v="0"/>
    <x v="2"/>
    <x v="184"/>
    <n v="16"/>
    <n v="25"/>
    <n v="1081"/>
    <n v="1.4585232452142201"/>
    <n v="98.541476754785791"/>
  </r>
  <r>
    <d v="2026-01-28T00:00:00"/>
    <s v="Line A"/>
    <x v="1"/>
    <x v="0"/>
    <x v="121"/>
    <n v="13"/>
    <n v="55"/>
    <n v="893"/>
    <n v="1.434878587196468"/>
    <n v="98.565121412803535"/>
  </r>
  <r>
    <d v="2026-01-28T00:00:00"/>
    <s v="Line A"/>
    <x v="2"/>
    <x v="0"/>
    <x v="119"/>
    <n v="21"/>
    <n v="38"/>
    <n v="838"/>
    <n v="2.4447031431897561"/>
    <n v="97.555296856810244"/>
  </r>
  <r>
    <d v="2026-01-28T00:00:00"/>
    <s v="Line B"/>
    <x v="0"/>
    <x v="2"/>
    <x v="185"/>
    <n v="24"/>
    <n v="23"/>
    <n v="949"/>
    <n v="2.4665981500513872"/>
    <n v="97.533401849948604"/>
  </r>
  <r>
    <d v="2026-01-28T00:00:00"/>
    <s v="Line B"/>
    <x v="1"/>
    <x v="0"/>
    <x v="186"/>
    <n v="20"/>
    <n v="63"/>
    <n v="780"/>
    <n v="2.5"/>
    <n v="97.5"/>
  </r>
  <r>
    <d v="2026-01-28T00:00:00"/>
    <s v="Line B"/>
    <x v="2"/>
    <x v="2"/>
    <x v="187"/>
    <n v="31"/>
    <n v="9"/>
    <n v="873"/>
    <n v="3.4292035398230092"/>
    <n v="96.570796460176993"/>
  </r>
  <r>
    <d v="2026-01-28T00:00:00"/>
    <s v="Line C"/>
    <x v="0"/>
    <x v="3"/>
    <x v="177"/>
    <n v="28"/>
    <n v="18"/>
    <n v="781"/>
    <n v="3.4610630407911001"/>
    <n v="96.538936959208897"/>
  </r>
  <r>
    <d v="2026-01-28T00:00:00"/>
    <s v="Line C"/>
    <x v="1"/>
    <x v="1"/>
    <x v="137"/>
    <n v="30"/>
    <n v="25"/>
    <n v="682"/>
    <n v="4.213483146067416"/>
    <n v="95.786516853932582"/>
  </r>
  <r>
    <d v="2026-01-28T00:00:00"/>
    <s v="Line C"/>
    <x v="2"/>
    <x v="3"/>
    <x v="33"/>
    <n v="32"/>
    <n v="8"/>
    <n v="691"/>
    <n v="4.4260027662517292"/>
    <n v="95.573997233748273"/>
  </r>
  <r>
    <d v="2026-01-29T00:00:00"/>
    <s v="Line A"/>
    <x v="0"/>
    <x v="2"/>
    <x v="188"/>
    <n v="14"/>
    <n v="83"/>
    <n v="936"/>
    <n v="1.4736842105263159"/>
    <n v="98.526315789473685"/>
  </r>
  <r>
    <d v="2026-01-29T00:00:00"/>
    <s v="Line A"/>
    <x v="1"/>
    <x v="3"/>
    <x v="88"/>
    <n v="14"/>
    <n v="12"/>
    <n v="946"/>
    <n v="1.458333333333333"/>
    <n v="98.541666666666671"/>
  </r>
  <r>
    <d v="2026-01-29T00:00:00"/>
    <s v="Line A"/>
    <x v="2"/>
    <x v="1"/>
    <x v="189"/>
    <n v="25"/>
    <n v="28"/>
    <n v="754"/>
    <n v="3.2092426187419769"/>
    <n v="96.790757381258018"/>
  </r>
  <r>
    <d v="2026-01-29T00:00:00"/>
    <s v="Line B"/>
    <x v="0"/>
    <x v="0"/>
    <x v="190"/>
    <n v="22"/>
    <n v="29"/>
    <n v="888"/>
    <n v="2.4175824175824179"/>
    <n v="97.582417582417577"/>
  </r>
  <r>
    <d v="2026-01-29T00:00:00"/>
    <s v="Line B"/>
    <x v="1"/>
    <x v="3"/>
    <x v="85"/>
    <n v="19"/>
    <n v="75"/>
    <n v="754"/>
    <n v="2.4579560155239331"/>
    <n v="97.542043984476066"/>
  </r>
  <r>
    <d v="2026-01-29T00:00:00"/>
    <s v="Line B"/>
    <x v="2"/>
    <x v="1"/>
    <x v="145"/>
    <n v="30"/>
    <n v="48"/>
    <n v="687"/>
    <n v="4.1841004184100417"/>
    <n v="95.81589958158996"/>
  </r>
  <r>
    <d v="2026-01-29T00:00:00"/>
    <s v="Line C"/>
    <x v="0"/>
    <x v="2"/>
    <x v="144"/>
    <n v="29"/>
    <n v="16"/>
    <n v="816"/>
    <n v="3.4319526627218928"/>
    <n v="96.568047337278102"/>
  </r>
  <r>
    <d v="2026-01-29T00:00:00"/>
    <s v="Line C"/>
    <x v="1"/>
    <x v="2"/>
    <x v="28"/>
    <n v="27"/>
    <n v="53"/>
    <n v="770"/>
    <n v="3.3877038895859481"/>
    <n v="96.61229611041405"/>
  </r>
  <r>
    <d v="2026-01-29T00:00:00"/>
    <s v="Line C"/>
    <x v="2"/>
    <x v="3"/>
    <x v="191"/>
    <n v="29"/>
    <n v="21"/>
    <n v="628"/>
    <n v="4.4140030441400304"/>
    <n v="95.585996955859969"/>
  </r>
  <r>
    <d v="2026-01-30T00:00:00"/>
    <s v="Line A"/>
    <x v="0"/>
    <x v="2"/>
    <x v="192"/>
    <n v="16"/>
    <n v="18"/>
    <n v="1099"/>
    <n v="1.434977578475336"/>
    <n v="98.56502242152466"/>
  </r>
  <r>
    <d v="2026-01-30T00:00:00"/>
    <s v="Line A"/>
    <x v="1"/>
    <x v="2"/>
    <x v="20"/>
    <n v="13"/>
    <n v="82"/>
    <n v="907"/>
    <n v="1.4130434782608701"/>
    <n v="98.58695652173914"/>
  </r>
  <r>
    <d v="2026-01-30T00:00:00"/>
    <s v="Line A"/>
    <x v="2"/>
    <x v="3"/>
    <x v="31"/>
    <n v="19"/>
    <n v="33"/>
    <n v="773"/>
    <n v="2.3989898989898988"/>
    <n v="97.601010101010104"/>
  </r>
  <r>
    <d v="2026-01-30T00:00:00"/>
    <s v="Line B"/>
    <x v="0"/>
    <x v="2"/>
    <x v="88"/>
    <n v="24"/>
    <n v="48"/>
    <n v="936"/>
    <n v="2.5"/>
    <n v="97.5"/>
  </r>
  <r>
    <d v="2026-01-30T00:00:00"/>
    <s v="Line B"/>
    <x v="1"/>
    <x v="1"/>
    <x v="193"/>
    <n v="26"/>
    <n v="30"/>
    <n v="763"/>
    <n v="3.29531051964512"/>
    <n v="96.704689480354872"/>
  </r>
  <r>
    <d v="2026-01-30T00:00:00"/>
    <s v="Line B"/>
    <x v="2"/>
    <x v="3"/>
    <x v="137"/>
    <n v="24"/>
    <n v="35"/>
    <n v="688"/>
    <n v="3.3707865168539319"/>
    <n v="96.629213483146074"/>
  </r>
  <r>
    <d v="2026-01-30T00:00:00"/>
    <s v="Line C"/>
    <x v="0"/>
    <x v="2"/>
    <x v="194"/>
    <n v="26"/>
    <n v="90"/>
    <n v="727"/>
    <n v="3.452855245683931"/>
    <n v="96.547144754316065"/>
  </r>
  <r>
    <d v="2026-01-30T00:00:00"/>
    <s v="Line C"/>
    <x v="1"/>
    <x v="2"/>
    <x v="22"/>
    <n v="28"/>
    <n v="49"/>
    <n v="791"/>
    <n v="3.4188034188034191"/>
    <n v="96.581196581196579"/>
  </r>
  <r>
    <d v="2026-01-30T00:00:00"/>
    <s v="Line C"/>
    <x v="2"/>
    <x v="1"/>
    <x v="195"/>
    <n v="36"/>
    <n v="18"/>
    <n v="645"/>
    <n v="5.286343612334802"/>
    <n v="94.713656387665196"/>
  </r>
  <r>
    <d v="2026-01-31T00:00:00"/>
    <s v="Line A"/>
    <x v="0"/>
    <x v="3"/>
    <x v="196"/>
    <n v="15"/>
    <n v="6"/>
    <n v="996"/>
    <n v="1.4836795252225521"/>
    <n v="98.516320474777459"/>
  </r>
  <r>
    <d v="2026-01-31T00:00:00"/>
    <s v="Line A"/>
    <x v="1"/>
    <x v="2"/>
    <x v="197"/>
    <n v="14"/>
    <n v="23"/>
    <n v="978"/>
    <n v="1.411290322580645"/>
    <n v="98.588709677419345"/>
  </r>
  <r>
    <d v="2026-01-31T00:00:00"/>
    <s v="Line A"/>
    <x v="2"/>
    <x v="2"/>
    <x v="121"/>
    <n v="22"/>
    <n v="34"/>
    <n v="884"/>
    <n v="2.428256070640177"/>
    <n v="97.571743929359826"/>
  </r>
  <r>
    <d v="2026-01-31T00:00:00"/>
    <s v="Line B"/>
    <x v="0"/>
    <x v="2"/>
    <x v="198"/>
    <n v="24"/>
    <n v="35"/>
    <n v="947"/>
    <n v="2.4716786817713698"/>
    <n v="97.528321318228635"/>
  </r>
  <r>
    <d v="2026-01-31T00:00:00"/>
    <s v="Line B"/>
    <x v="1"/>
    <x v="2"/>
    <x v="60"/>
    <n v="21"/>
    <n v="54"/>
    <n v="848"/>
    <n v="2.416570771001151"/>
    <n v="97.583429228998853"/>
  </r>
  <r>
    <d v="2026-01-31T00:00:00"/>
    <s v="Line B"/>
    <x v="2"/>
    <x v="2"/>
    <x v="199"/>
    <n v="30"/>
    <n v="14"/>
    <n v="847"/>
    <n v="3.420752565564424"/>
    <n v="96.579247434435572"/>
  </r>
  <r>
    <d v="2026-01-31T00:00:00"/>
    <s v="Line C"/>
    <x v="0"/>
    <x v="2"/>
    <x v="200"/>
    <n v="27"/>
    <n v="62"/>
    <n v="764"/>
    <n v="3.413400758533502"/>
    <n v="96.586599241466502"/>
  </r>
  <r>
    <d v="2026-01-31T00:00:00"/>
    <s v="Line C"/>
    <x v="1"/>
    <x v="2"/>
    <x v="201"/>
    <n v="28"/>
    <n v="41"/>
    <n v="795"/>
    <n v="3.4021871202916159"/>
    <n v="96.597812879708385"/>
  </r>
  <r>
    <d v="2026-01-31T00:00:00"/>
    <s v="Line C"/>
    <x v="2"/>
    <x v="2"/>
    <x v="83"/>
    <n v="35"/>
    <n v="21"/>
    <n v="743"/>
    <n v="4.4987146529562976"/>
    <n v="95.501285347043705"/>
  </r>
  <r>
    <d v="2026-02-01T00:00:00"/>
    <s v="Line A"/>
    <x v="0"/>
    <x v="2"/>
    <x v="202"/>
    <n v="16"/>
    <n v="10"/>
    <n v="1090"/>
    <n v="1.446654611211573"/>
    <n v="98.553345388788429"/>
  </r>
  <r>
    <d v="2026-02-01T00:00:00"/>
    <s v="Line A"/>
    <x v="1"/>
    <x v="1"/>
    <x v="76"/>
    <n v="18"/>
    <n v="31"/>
    <n v="785"/>
    <n v="2.2415940224159399"/>
    <n v="97.758405977584061"/>
  </r>
  <r>
    <d v="2026-02-01T00:00:00"/>
    <s v="Line A"/>
    <x v="2"/>
    <x v="1"/>
    <x v="193"/>
    <n v="26"/>
    <n v="46"/>
    <n v="763"/>
    <n v="3.29531051964512"/>
    <n v="96.704689480354872"/>
  </r>
  <r>
    <d v="2026-02-01T00:00:00"/>
    <s v="Line B"/>
    <x v="0"/>
    <x v="3"/>
    <x v="69"/>
    <n v="19"/>
    <n v="55"/>
    <n v="767"/>
    <n v="2.4173027989821878"/>
    <n v="97.582697201017808"/>
  </r>
  <r>
    <d v="2026-02-01T00:00:00"/>
    <s v="Line B"/>
    <x v="1"/>
    <x v="2"/>
    <x v="203"/>
    <n v="21"/>
    <n v="60"/>
    <n v="828"/>
    <n v="2.473498233215548"/>
    <n v="97.526501766784463"/>
  </r>
  <r>
    <d v="2026-02-01T00:00:00"/>
    <s v="Line B"/>
    <x v="2"/>
    <x v="0"/>
    <x v="133"/>
    <n v="25"/>
    <n v="62"/>
    <n v="706"/>
    <n v="3.4199726402188779"/>
    <n v="96.580027359781113"/>
  </r>
  <r>
    <d v="2026-02-01T00:00:00"/>
    <s v="Line C"/>
    <x v="0"/>
    <x v="1"/>
    <x v="141"/>
    <n v="28"/>
    <n v="83"/>
    <n v="633"/>
    <n v="4.236006051437216"/>
    <n v="95.763993948562785"/>
  </r>
  <r>
    <d v="2026-02-01T00:00:00"/>
    <s v="Line C"/>
    <x v="1"/>
    <x v="0"/>
    <x v="194"/>
    <n v="26"/>
    <n v="23"/>
    <n v="727"/>
    <n v="3.452855245683931"/>
    <n v="96.547144754316065"/>
  </r>
  <r>
    <d v="2026-02-01T00:00:00"/>
    <s v="Line C"/>
    <x v="2"/>
    <x v="2"/>
    <x v="101"/>
    <n v="31"/>
    <n v="56"/>
    <n v="674"/>
    <n v="4.3971631205673756"/>
    <n v="95.60283687943263"/>
  </r>
  <r>
    <d v="2026-02-02T00:00:00"/>
    <s v="Line A"/>
    <x v="0"/>
    <x v="0"/>
    <x v="65"/>
    <n v="14"/>
    <n v="38"/>
    <n v="984"/>
    <n v="1.402805611222445"/>
    <n v="98.597194388777552"/>
  </r>
  <r>
    <d v="2026-02-02T00:00:00"/>
    <s v="Line A"/>
    <x v="1"/>
    <x v="2"/>
    <x v="204"/>
    <n v="12"/>
    <n v="81"/>
    <n v="850"/>
    <n v="1.392111368909513"/>
    <n v="98.607888631090489"/>
  </r>
  <r>
    <d v="2026-02-02T00:00:00"/>
    <s v="Line A"/>
    <x v="2"/>
    <x v="1"/>
    <x v="124"/>
    <n v="26"/>
    <n v="45"/>
    <n v="768"/>
    <n v="3.2745591939546599"/>
    <n v="96.725440806045341"/>
  </r>
  <r>
    <d v="2026-02-02T00:00:00"/>
    <s v="Line B"/>
    <x v="0"/>
    <x v="1"/>
    <x v="71"/>
    <n v="24"/>
    <n v="73"/>
    <n v="728"/>
    <n v="3.191489361702128"/>
    <n v="96.808510638297875"/>
  </r>
  <r>
    <d v="2026-02-02T00:00:00"/>
    <s v="Line B"/>
    <x v="1"/>
    <x v="3"/>
    <x v="205"/>
    <n v="19"/>
    <n v="79"/>
    <n v="743"/>
    <n v="2.4934383202099739"/>
    <n v="97.506561679790025"/>
  </r>
  <r>
    <d v="2026-02-02T00:00:00"/>
    <s v="Line B"/>
    <x v="2"/>
    <x v="0"/>
    <x v="194"/>
    <n v="26"/>
    <n v="46"/>
    <n v="727"/>
    <n v="3.452855245683931"/>
    <n v="96.547144754316065"/>
  </r>
  <r>
    <d v="2026-02-02T00:00:00"/>
    <s v="Line C"/>
    <x v="0"/>
    <x v="2"/>
    <x v="206"/>
    <n v="28"/>
    <n v="81"/>
    <n v="782"/>
    <n v="3.4567901234567899"/>
    <n v="96.543209876543216"/>
  </r>
  <r>
    <d v="2026-02-02T00:00:00"/>
    <s v="Line C"/>
    <x v="1"/>
    <x v="1"/>
    <x v="90"/>
    <n v="31"/>
    <n v="13"/>
    <n v="698"/>
    <n v="4.252400548696845"/>
    <n v="95.747599451303159"/>
  </r>
  <r>
    <d v="2026-02-02T00:00:00"/>
    <s v="Line C"/>
    <x v="2"/>
    <x v="2"/>
    <x v="207"/>
    <n v="30"/>
    <n v="78"/>
    <n v="657"/>
    <n v="4.3668122270742353"/>
    <n v="95.633187772925766"/>
  </r>
  <r>
    <d v="2026-02-03T00:00:00"/>
    <s v="Line A"/>
    <x v="0"/>
    <x v="1"/>
    <x v="208"/>
    <n v="21"/>
    <n v="13"/>
    <n v="898"/>
    <n v="2.285092491838955"/>
    <n v="97.714907508161048"/>
  </r>
  <r>
    <d v="2026-02-03T00:00:00"/>
    <s v="Line A"/>
    <x v="1"/>
    <x v="1"/>
    <x v="209"/>
    <n v="18"/>
    <n v="41"/>
    <n v="804"/>
    <n v="2.1897810218978102"/>
    <n v="97.810218978102199"/>
  </r>
  <r>
    <d v="2026-02-03T00:00:00"/>
    <s v="Line A"/>
    <x v="2"/>
    <x v="0"/>
    <x v="154"/>
    <n v="21"/>
    <n v="26"/>
    <n v="837"/>
    <n v="2.4475524475524471"/>
    <n v="97.552447552447546"/>
  </r>
  <r>
    <d v="2026-02-03T00:00:00"/>
    <s v="Line B"/>
    <x v="0"/>
    <x v="1"/>
    <x v="6"/>
    <n v="26"/>
    <n v="29"/>
    <n v="781"/>
    <n v="3.2218091697645601"/>
    <n v="96.778190830235445"/>
  </r>
  <r>
    <d v="2026-02-03T00:00:00"/>
    <s v="Line B"/>
    <x v="1"/>
    <x v="2"/>
    <x v="159"/>
    <n v="19"/>
    <n v="81"/>
    <n v="777"/>
    <n v="2.386934673366834"/>
    <n v="97.613065326633162"/>
  </r>
  <r>
    <d v="2026-02-03T00:00:00"/>
    <s v="Line B"/>
    <x v="2"/>
    <x v="0"/>
    <x v="194"/>
    <n v="26"/>
    <n v="70"/>
    <n v="727"/>
    <n v="3.452855245683931"/>
    <n v="96.547144754316065"/>
  </r>
  <r>
    <d v="2026-02-03T00:00:00"/>
    <s v="Line C"/>
    <x v="0"/>
    <x v="2"/>
    <x v="154"/>
    <n v="30"/>
    <n v="5"/>
    <n v="828"/>
    <n v="3.4965034965034971"/>
    <n v="96.503496503496507"/>
  </r>
  <r>
    <d v="2026-02-03T00:00:00"/>
    <s v="Line C"/>
    <x v="1"/>
    <x v="3"/>
    <x v="210"/>
    <n v="24"/>
    <n v="55"/>
    <n v="665"/>
    <n v="3.483309143686502"/>
    <n v="96.516690856313502"/>
  </r>
  <r>
    <d v="2026-02-03T00:00:00"/>
    <s v="Line C"/>
    <x v="2"/>
    <x v="0"/>
    <x v="211"/>
    <n v="29"/>
    <n v="85"/>
    <n v="618"/>
    <n v="4.4822256568778984"/>
    <n v="95.517774343122099"/>
  </r>
  <r>
    <d v="2026-02-04T00:00:00"/>
    <s v="Line A"/>
    <x v="0"/>
    <x v="0"/>
    <x v="212"/>
    <n v="15"/>
    <n v="35"/>
    <n v="994"/>
    <n v="1.486620416253716"/>
    <n v="98.513379583746286"/>
  </r>
  <r>
    <d v="2026-02-04T00:00:00"/>
    <s v="Line A"/>
    <x v="1"/>
    <x v="2"/>
    <x v="213"/>
    <n v="14"/>
    <n v="60"/>
    <n v="961"/>
    <n v="1.4358974358974359"/>
    <n v="98.564102564102569"/>
  </r>
  <r>
    <d v="2026-02-04T00:00:00"/>
    <s v="Line A"/>
    <x v="2"/>
    <x v="1"/>
    <x v="214"/>
    <n v="26"/>
    <n v="18"/>
    <n v="787"/>
    <n v="3.198031980319803"/>
    <n v="96.801968019680203"/>
  </r>
  <r>
    <d v="2026-02-04T00:00:00"/>
    <s v="Line B"/>
    <x v="0"/>
    <x v="2"/>
    <x v="0"/>
    <n v="22"/>
    <n v="39"/>
    <n v="867"/>
    <n v="2.474690663667042"/>
    <n v="97.525309336332953"/>
  </r>
  <r>
    <d v="2026-02-04T00:00:00"/>
    <s v="Line B"/>
    <x v="1"/>
    <x v="0"/>
    <x v="44"/>
    <n v="21"/>
    <n v="20"/>
    <n v="819"/>
    <n v="2.5"/>
    <n v="97.5"/>
  </r>
  <r>
    <d v="2026-02-04T00:00:00"/>
    <s v="Line B"/>
    <x v="2"/>
    <x v="3"/>
    <x v="207"/>
    <n v="24"/>
    <n v="77"/>
    <n v="663"/>
    <n v="3.4934497816593879"/>
    <n v="96.506550218340621"/>
  </r>
  <r>
    <d v="2026-02-04T00:00:00"/>
    <s v="Line C"/>
    <x v="0"/>
    <x v="0"/>
    <x v="215"/>
    <n v="26"/>
    <n v="40"/>
    <n v="743"/>
    <n v="3.3810143042912881"/>
    <n v="96.618985695708716"/>
  </r>
  <r>
    <d v="2026-02-04T00:00:00"/>
    <s v="Line C"/>
    <x v="1"/>
    <x v="2"/>
    <x v="31"/>
    <n v="27"/>
    <n v="59"/>
    <n v="765"/>
    <n v="3.4090909090909092"/>
    <n v="96.590909090909093"/>
  </r>
  <r>
    <d v="2026-02-04T00:00:00"/>
    <s v="Line C"/>
    <x v="2"/>
    <x v="2"/>
    <x v="216"/>
    <n v="32"/>
    <n v="55"/>
    <n v="695"/>
    <n v="4.4016506189821181"/>
    <n v="95.598349381017883"/>
  </r>
  <r>
    <d v="2026-02-05T00:00:00"/>
    <s v="Line A"/>
    <x v="0"/>
    <x v="3"/>
    <x v="217"/>
    <n v="13"/>
    <n v="32"/>
    <n v="901"/>
    <n v="1.4223194748358861"/>
    <n v="98.577680525164112"/>
  </r>
  <r>
    <d v="2026-02-05T00:00:00"/>
    <s v="Line A"/>
    <x v="1"/>
    <x v="1"/>
    <x v="178"/>
    <n v="19"/>
    <n v="11"/>
    <n v="842"/>
    <n v="2.206736353077817"/>
    <n v="97.793263646922185"/>
  </r>
  <r>
    <d v="2026-02-05T00:00:00"/>
    <s v="Line A"/>
    <x v="2"/>
    <x v="0"/>
    <x v="91"/>
    <n v="22"/>
    <n v="22"/>
    <n v="872"/>
    <n v="2.4608501118568231"/>
    <n v="97.539149888143172"/>
  </r>
  <r>
    <d v="2026-02-05T00:00:00"/>
    <s v="Line B"/>
    <x v="0"/>
    <x v="3"/>
    <x v="218"/>
    <n v="20"/>
    <n v="62"/>
    <n v="813"/>
    <n v="2.4009603841536622"/>
    <n v="97.599039615846337"/>
  </r>
  <r>
    <d v="2026-02-05T00:00:00"/>
    <s v="Line B"/>
    <x v="1"/>
    <x v="3"/>
    <x v="219"/>
    <n v="20"/>
    <n v="49"/>
    <n v="781"/>
    <n v="2.4968789013732828"/>
    <n v="97.503121098626721"/>
  </r>
  <r>
    <d v="2026-02-05T00:00:00"/>
    <s v="Line B"/>
    <x v="2"/>
    <x v="2"/>
    <x v="160"/>
    <n v="28"/>
    <n v="57"/>
    <n v="774"/>
    <n v="3.491271820448878"/>
    <n v="96.508728179551113"/>
  </r>
  <r>
    <d v="2026-02-05T00:00:00"/>
    <s v="Line C"/>
    <x v="0"/>
    <x v="1"/>
    <x v="171"/>
    <n v="29"/>
    <n v="54"/>
    <n v="655"/>
    <n v="4.2397660818713447"/>
    <n v="95.760233918128662"/>
  </r>
  <r>
    <d v="2026-02-05T00:00:00"/>
    <s v="Line C"/>
    <x v="1"/>
    <x v="2"/>
    <x v="220"/>
    <n v="27"/>
    <n v="54"/>
    <n v="753"/>
    <n v="3.4615384615384621"/>
    <n v="96.538461538461533"/>
  </r>
  <r>
    <d v="2026-02-05T00:00:00"/>
    <s v="Line C"/>
    <x v="2"/>
    <x v="1"/>
    <x v="221"/>
    <n v="30"/>
    <n v="60"/>
    <n v="549"/>
    <n v="5.1813471502590671"/>
    <n v="94.818652849740943"/>
  </r>
  <r>
    <d v="2026-02-06T00:00:00"/>
    <s v="Line A"/>
    <x v="0"/>
    <x v="0"/>
    <x v="222"/>
    <n v="12"/>
    <n v="90"/>
    <n v="835"/>
    <n v="1.4167650531286891"/>
    <n v="98.583234946871315"/>
  </r>
  <r>
    <d v="2026-02-06T00:00:00"/>
    <s v="Line A"/>
    <x v="1"/>
    <x v="1"/>
    <x v="223"/>
    <n v="20"/>
    <n v="1"/>
    <n v="859"/>
    <n v="2.2753128555176341"/>
    <n v="97.724687144482374"/>
  </r>
  <r>
    <d v="2026-02-06T00:00:00"/>
    <s v="Line A"/>
    <x v="2"/>
    <x v="0"/>
    <x v="209"/>
    <n v="20"/>
    <n v="67"/>
    <n v="802"/>
    <n v="2.4330900243308999"/>
    <n v="97.566909975669105"/>
  </r>
  <r>
    <d v="2026-02-06T00:00:00"/>
    <s v="Line B"/>
    <x v="0"/>
    <x v="0"/>
    <x v="224"/>
    <n v="23"/>
    <n v="11"/>
    <n v="928"/>
    <n v="2.41850683491062"/>
    <n v="97.581493165089384"/>
  </r>
  <r>
    <d v="2026-02-06T00:00:00"/>
    <s v="Line B"/>
    <x v="1"/>
    <x v="0"/>
    <x v="225"/>
    <n v="18"/>
    <n v="87"/>
    <n v="730"/>
    <n v="2.4064171122994651"/>
    <n v="97.593582887700535"/>
  </r>
  <r>
    <d v="2026-02-06T00:00:00"/>
    <s v="Line B"/>
    <x v="2"/>
    <x v="3"/>
    <x v="226"/>
    <n v="25"/>
    <n v="48"/>
    <n v="693"/>
    <n v="3.481894150417828"/>
    <n v="96.51810584958217"/>
  </r>
  <r>
    <d v="2026-02-06T00:00:00"/>
    <s v="Line C"/>
    <x v="0"/>
    <x v="1"/>
    <x v="70"/>
    <n v="30"/>
    <n v="35"/>
    <n v="683"/>
    <n v="4.2075736325385691"/>
    <n v="95.792426367461431"/>
  </r>
  <r>
    <d v="2026-02-06T00:00:00"/>
    <s v="Line C"/>
    <x v="1"/>
    <x v="2"/>
    <x v="227"/>
    <n v="27"/>
    <n v="76"/>
    <n v="755"/>
    <n v="3.452685421994885"/>
    <n v="96.547314578005114"/>
  </r>
  <r>
    <d v="2026-02-06T00:00:00"/>
    <s v="Line C"/>
    <x v="2"/>
    <x v="3"/>
    <x v="228"/>
    <n v="31"/>
    <n v="23"/>
    <n v="670"/>
    <n v="4.4222539229671902"/>
    <n v="95.577746077032813"/>
  </r>
  <r>
    <d v="2026-02-07T00:00:00"/>
    <s v="Line A"/>
    <x v="0"/>
    <x v="0"/>
    <x v="229"/>
    <n v="15"/>
    <n v="9"/>
    <n v="1043"/>
    <n v="1.417769376181474"/>
    <n v="98.582230623818518"/>
  </r>
  <r>
    <d v="2026-02-07T00:00:00"/>
    <s v="Line A"/>
    <x v="1"/>
    <x v="2"/>
    <x v="230"/>
    <n v="13"/>
    <n v="82"/>
    <n v="920"/>
    <n v="1.393354769560557"/>
    <n v="98.60664523043944"/>
  </r>
  <r>
    <d v="2026-02-07T00:00:00"/>
    <s v="Line A"/>
    <x v="2"/>
    <x v="0"/>
    <x v="231"/>
    <n v="20"/>
    <n v="77"/>
    <n v="791"/>
    <n v="2.466091245376079"/>
    <n v="97.533908754623923"/>
  </r>
  <r>
    <d v="2026-02-07T00:00:00"/>
    <s v="Line B"/>
    <x v="0"/>
    <x v="3"/>
    <x v="55"/>
    <n v="21"/>
    <n v="57"/>
    <n v="822"/>
    <n v="2.4911032028469751"/>
    <n v="97.508896797153028"/>
  </r>
  <r>
    <d v="2026-02-07T00:00:00"/>
    <s v="Line B"/>
    <x v="1"/>
    <x v="1"/>
    <x v="232"/>
    <n v="25"/>
    <n v="52"/>
    <n v="747"/>
    <n v="3.2383419689119171"/>
    <n v="96.761658031088089"/>
  </r>
  <r>
    <d v="2026-02-07T00:00:00"/>
    <s v="Line B"/>
    <x v="2"/>
    <x v="3"/>
    <x v="233"/>
    <n v="24"/>
    <n v="80"/>
    <n v="690"/>
    <n v="3.3613445378151261"/>
    <n v="96.638655462184872"/>
  </r>
  <r>
    <d v="2026-02-07T00:00:00"/>
    <s v="Line C"/>
    <x v="0"/>
    <x v="0"/>
    <x v="234"/>
    <n v="30"/>
    <n v="10"/>
    <n v="838"/>
    <n v="3.4562211981566819"/>
    <n v="96.543778801843317"/>
  </r>
  <r>
    <d v="2026-02-07T00:00:00"/>
    <s v="Line C"/>
    <x v="1"/>
    <x v="1"/>
    <x v="235"/>
    <n v="28"/>
    <n v="23"/>
    <n v="636"/>
    <n v="4.2168674698795181"/>
    <n v="95.783132530120483"/>
  </r>
  <r>
    <d v="2026-02-07T00:00:00"/>
    <s v="Line C"/>
    <x v="2"/>
    <x v="3"/>
    <x v="236"/>
    <n v="28"/>
    <n v="73"/>
    <n v="615"/>
    <n v="4.3545878693623639"/>
    <n v="95.645412130637638"/>
  </r>
  <r>
    <d v="2026-02-08T00:00:00"/>
    <s v="Line A"/>
    <x v="0"/>
    <x v="0"/>
    <x v="237"/>
    <n v="14"/>
    <n v="62"/>
    <n v="938"/>
    <n v="1.470588235294118"/>
    <n v="98.529411764705884"/>
  </r>
  <r>
    <d v="2026-02-08T00:00:00"/>
    <s v="Line A"/>
    <x v="1"/>
    <x v="1"/>
    <x v="60"/>
    <n v="19"/>
    <n v="10"/>
    <n v="850"/>
    <n v="2.186421173762946"/>
    <n v="97.813578826237062"/>
  </r>
  <r>
    <d v="2026-02-08T00:00:00"/>
    <s v="Line A"/>
    <x v="2"/>
    <x v="0"/>
    <x v="222"/>
    <n v="21"/>
    <n v="61"/>
    <n v="826"/>
    <n v="2.4793388429752068"/>
    <n v="97.52066115702479"/>
  </r>
  <r>
    <d v="2026-02-08T00:00:00"/>
    <s v="Line B"/>
    <x v="0"/>
    <x v="2"/>
    <x v="68"/>
    <n v="23"/>
    <n v="55"/>
    <n v="900"/>
    <n v="2.4918743228602378"/>
    <n v="97.508125677139759"/>
  </r>
  <r>
    <d v="2026-02-08T00:00:00"/>
    <s v="Line B"/>
    <x v="1"/>
    <x v="0"/>
    <x v="219"/>
    <n v="20"/>
    <n v="73"/>
    <n v="781"/>
    <n v="2.4968789013732828"/>
    <n v="97.503121098626721"/>
  </r>
  <r>
    <d v="2026-02-08T00:00:00"/>
    <s v="Line B"/>
    <x v="2"/>
    <x v="1"/>
    <x v="16"/>
    <n v="30"/>
    <n v="38"/>
    <n v="685"/>
    <n v="4.1958041958041958"/>
    <n v="95.8041958041958"/>
  </r>
  <r>
    <d v="2026-02-08T00:00:00"/>
    <s v="Line C"/>
    <x v="0"/>
    <x v="2"/>
    <x v="97"/>
    <n v="30"/>
    <n v="13"/>
    <n v="850"/>
    <n v="3.4090909090909092"/>
    <n v="96.590909090909093"/>
  </r>
  <r>
    <d v="2026-02-08T00:00:00"/>
    <s v="Line C"/>
    <x v="1"/>
    <x v="0"/>
    <x v="15"/>
    <n v="26"/>
    <n v="63"/>
    <n v="718"/>
    <n v="3.4946236559139781"/>
    <n v="96.505376344086031"/>
  </r>
  <r>
    <d v="2026-02-08T00:00:00"/>
    <s v="Line C"/>
    <x v="2"/>
    <x v="3"/>
    <x v="96"/>
    <n v="27"/>
    <n v="69"/>
    <n v="575"/>
    <n v="4.485049833887043"/>
    <n v="95.514950166112953"/>
  </r>
  <r>
    <d v="2026-02-09T00:00:00"/>
    <s v="Line A"/>
    <x v="0"/>
    <x v="1"/>
    <x v="131"/>
    <n v="20"/>
    <n v="31"/>
    <n v="866"/>
    <n v="2.2573363431151239"/>
    <n v="97.742663656884872"/>
  </r>
  <r>
    <d v="2026-02-09T00:00:00"/>
    <s v="Line A"/>
    <x v="1"/>
    <x v="3"/>
    <x v="238"/>
    <n v="12"/>
    <n v="44"/>
    <n v="839"/>
    <n v="1.410105757931845"/>
    <n v="98.589894242068155"/>
  </r>
  <r>
    <d v="2026-02-09T00:00:00"/>
    <s v="Line A"/>
    <x v="2"/>
    <x v="0"/>
    <x v="38"/>
    <n v="22"/>
    <n v="6"/>
    <n v="877"/>
    <n v="2.4471635150166851"/>
    <n v="97.552836484983317"/>
  </r>
  <r>
    <d v="2026-02-09T00:00:00"/>
    <s v="Line B"/>
    <x v="0"/>
    <x v="0"/>
    <x v="100"/>
    <n v="23"/>
    <n v="1"/>
    <n v="936"/>
    <n v="2.3983315954118871"/>
    <n v="97.601668404588111"/>
  </r>
  <r>
    <d v="2026-02-09T00:00:00"/>
    <s v="Line B"/>
    <x v="1"/>
    <x v="2"/>
    <x v="108"/>
    <n v="22"/>
    <n v="34"/>
    <n v="885"/>
    <n v="2.4255788313120181"/>
    <n v="97.574421168687991"/>
  </r>
  <r>
    <d v="2026-02-09T00:00:00"/>
    <s v="Line B"/>
    <x v="2"/>
    <x v="1"/>
    <x v="172"/>
    <n v="31"/>
    <n v="29"/>
    <n v="709"/>
    <n v="4.1891891891891886"/>
    <n v="95.810810810810807"/>
  </r>
  <r>
    <d v="2026-02-09T00:00:00"/>
    <s v="Line C"/>
    <x v="0"/>
    <x v="3"/>
    <x v="239"/>
    <n v="24"/>
    <n v="70"/>
    <n v="687"/>
    <n v="3.3755274261603372"/>
    <n v="96.624472573839654"/>
  </r>
  <r>
    <d v="2026-02-09T00:00:00"/>
    <s v="Line C"/>
    <x v="1"/>
    <x v="0"/>
    <x v="228"/>
    <n v="24"/>
    <n v="86"/>
    <n v="677"/>
    <n v="3.4236804564907271"/>
    <n v="96.576319543509271"/>
  </r>
  <r>
    <d v="2026-02-09T00:00:00"/>
    <s v="Line C"/>
    <x v="2"/>
    <x v="3"/>
    <x v="240"/>
    <n v="30"/>
    <n v="23"/>
    <n v="658"/>
    <n v="4.3604651162790704"/>
    <n v="95.639534883720927"/>
  </r>
  <r>
    <d v="2026-02-10T00:00:00"/>
    <s v="Line A"/>
    <x v="0"/>
    <x v="1"/>
    <x v="93"/>
    <n v="18"/>
    <n v="51"/>
    <n v="799"/>
    <n v="2.203182374541004"/>
    <n v="97.796817625458999"/>
  </r>
  <r>
    <d v="2026-02-10T00:00:00"/>
    <s v="Line A"/>
    <x v="1"/>
    <x v="1"/>
    <x v="203"/>
    <n v="19"/>
    <n v="51"/>
    <n v="830"/>
    <n v="2.237926972909305"/>
    <n v="97.762073027090693"/>
  </r>
  <r>
    <d v="2026-02-10T00:00:00"/>
    <s v="Line A"/>
    <x v="2"/>
    <x v="3"/>
    <x v="241"/>
    <n v="19"/>
    <n v="74"/>
    <n v="742"/>
    <n v="2.4967148488830491"/>
    <n v="97.503285151116941"/>
  </r>
  <r>
    <d v="2026-02-10T00:00:00"/>
    <s v="Line B"/>
    <x v="0"/>
    <x v="2"/>
    <x v="242"/>
    <n v="22"/>
    <n v="56"/>
    <n v="860"/>
    <n v="2.4943310657596371"/>
    <n v="97.505668934240362"/>
  </r>
  <r>
    <d v="2026-02-10T00:00:00"/>
    <s v="Line B"/>
    <x v="1"/>
    <x v="1"/>
    <x v="243"/>
    <n v="23"/>
    <n v="90"/>
    <n v="685"/>
    <n v="3.2485875706214689"/>
    <n v="96.751412429378533"/>
  </r>
  <r>
    <d v="2026-02-10T00:00:00"/>
    <s v="Line B"/>
    <x v="2"/>
    <x v="3"/>
    <x v="194"/>
    <n v="26"/>
    <n v="27"/>
    <n v="727"/>
    <n v="3.452855245683931"/>
    <n v="96.547144754316065"/>
  </r>
  <r>
    <d v="2026-02-10T00:00:00"/>
    <s v="Line C"/>
    <x v="0"/>
    <x v="2"/>
    <x v="244"/>
    <n v="29"/>
    <n v="6"/>
    <n v="823"/>
    <n v="3.403755868544601"/>
    <n v="96.596244131455393"/>
  </r>
  <r>
    <d v="2026-02-10T00:00:00"/>
    <s v="Line C"/>
    <x v="1"/>
    <x v="1"/>
    <x v="245"/>
    <n v="27"/>
    <n v="88"/>
    <n v="605"/>
    <n v="4.2721518987341769"/>
    <n v="95.72784810126582"/>
  </r>
  <r>
    <d v="2026-02-10T00:00:00"/>
    <s v="Line C"/>
    <x v="2"/>
    <x v="2"/>
    <x v="77"/>
    <n v="35"/>
    <n v="22"/>
    <n v="764"/>
    <n v="4.3804755944931166"/>
    <n v="95.61952440550688"/>
  </r>
  <r>
    <d v="2026-02-11T00:00:00"/>
    <s v="Line A"/>
    <x v="0"/>
    <x v="0"/>
    <x v="246"/>
    <n v="14"/>
    <n v="73"/>
    <n v="925"/>
    <n v="1.490947816826411"/>
    <n v="98.50905218317358"/>
  </r>
  <r>
    <d v="2026-02-11T00:00:00"/>
    <s v="Line A"/>
    <x v="1"/>
    <x v="2"/>
    <x v="247"/>
    <n v="14"/>
    <n v="23"/>
    <n v="980"/>
    <n v="1.408450704225352"/>
    <n v="98.591549295774655"/>
  </r>
  <r>
    <d v="2026-02-11T00:00:00"/>
    <s v="Line A"/>
    <x v="2"/>
    <x v="1"/>
    <x v="24"/>
    <n v="24"/>
    <n v="60"/>
    <n v="726"/>
    <n v="3.2"/>
    <n v="96.8"/>
  </r>
  <r>
    <d v="2026-02-11T00:00:00"/>
    <s v="Line B"/>
    <x v="0"/>
    <x v="3"/>
    <x v="143"/>
    <n v="19"/>
    <n v="57"/>
    <n v="758"/>
    <n v="2.445302445302445"/>
    <n v="97.554697554697555"/>
  </r>
  <r>
    <d v="2026-02-11T00:00:00"/>
    <s v="Line B"/>
    <x v="1"/>
    <x v="3"/>
    <x v="54"/>
    <n v="18"/>
    <n v="85"/>
    <n v="718"/>
    <n v="2.445652173913043"/>
    <n v="97.554347826086953"/>
  </r>
  <r>
    <d v="2026-02-11T00:00:00"/>
    <s v="Line B"/>
    <x v="2"/>
    <x v="0"/>
    <x v="186"/>
    <n v="28"/>
    <n v="7"/>
    <n v="772"/>
    <n v="3.5"/>
    <n v="96.5"/>
  </r>
  <r>
    <d v="2026-02-11T00:00:00"/>
    <s v="Line C"/>
    <x v="0"/>
    <x v="1"/>
    <x v="194"/>
    <n v="32"/>
    <n v="25"/>
    <n v="721"/>
    <n v="4.2496679946879148"/>
    <n v="95.750332005312089"/>
  </r>
  <r>
    <d v="2026-02-11T00:00:00"/>
    <s v="Line C"/>
    <x v="1"/>
    <x v="0"/>
    <x v="248"/>
    <n v="26"/>
    <n v="60"/>
    <n v="734"/>
    <n v="3.4210526315789478"/>
    <n v="96.578947368421055"/>
  </r>
  <r>
    <d v="2026-02-11T00:00:00"/>
    <s v="Line C"/>
    <x v="2"/>
    <x v="1"/>
    <x v="249"/>
    <n v="33"/>
    <n v="18"/>
    <n v="608"/>
    <n v="5.1482059282371297"/>
    <n v="94.851794071762868"/>
  </r>
  <r>
    <d v="2026-02-12T00:00:00"/>
    <s v="Line A"/>
    <x v="0"/>
    <x v="3"/>
    <x v="103"/>
    <n v="13"/>
    <n v="87"/>
    <n v="872"/>
    <n v="1.4689265536723159"/>
    <n v="98.531073446327682"/>
  </r>
  <r>
    <d v="2026-02-12T00:00:00"/>
    <s v="Line A"/>
    <x v="1"/>
    <x v="0"/>
    <x v="157"/>
    <n v="13"/>
    <n v="68"/>
    <n v="883"/>
    <n v="1.450892857142857"/>
    <n v="98.549107142857139"/>
  </r>
  <r>
    <d v="2026-02-12T00:00:00"/>
    <s v="Line A"/>
    <x v="2"/>
    <x v="0"/>
    <x v="250"/>
    <n v="19"/>
    <n v="67"/>
    <n v="762"/>
    <n v="2.432778489116517"/>
    <n v="97.567221510883485"/>
  </r>
  <r>
    <d v="2026-02-12T00:00:00"/>
    <s v="Line B"/>
    <x v="0"/>
    <x v="1"/>
    <x v="76"/>
    <n v="26"/>
    <n v="21"/>
    <n v="777"/>
    <n v="3.2378580323785799"/>
    <n v="96.762141967621417"/>
  </r>
  <r>
    <d v="2026-02-12T00:00:00"/>
    <s v="Line B"/>
    <x v="1"/>
    <x v="2"/>
    <x v="41"/>
    <n v="20"/>
    <n v="81"/>
    <n v="811"/>
    <n v="2.4067388688327318"/>
    <n v="97.593261131167267"/>
  </r>
  <r>
    <d v="2026-02-12T00:00:00"/>
    <s v="Line B"/>
    <x v="2"/>
    <x v="0"/>
    <x v="39"/>
    <n v="29"/>
    <n v="3"/>
    <n v="828"/>
    <n v="3.38389731621937"/>
    <n v="96.616102683780625"/>
  </r>
  <r>
    <d v="2026-02-12T00:00:00"/>
    <s v="Line C"/>
    <x v="0"/>
    <x v="3"/>
    <x v="251"/>
    <n v="29"/>
    <n v="7"/>
    <n v="807"/>
    <n v="3.4688995215311"/>
    <n v="96.5311004784689"/>
  </r>
  <r>
    <d v="2026-02-12T00:00:00"/>
    <s v="Line C"/>
    <x v="1"/>
    <x v="0"/>
    <x v="47"/>
    <n v="28"/>
    <n v="1"/>
    <n v="798"/>
    <n v="3.3898305084745761"/>
    <n v="96.610169491525426"/>
  </r>
  <r>
    <d v="2026-02-12T00:00:00"/>
    <s v="Line C"/>
    <x v="2"/>
    <x v="2"/>
    <x v="163"/>
    <n v="33"/>
    <n v="33"/>
    <n v="718"/>
    <n v="4.3941411451398134"/>
    <n v="95.605858854860188"/>
  </r>
  <r>
    <d v="2026-02-13T00:00:00"/>
    <s v="Line A"/>
    <x v="0"/>
    <x v="0"/>
    <x v="252"/>
    <n v="14"/>
    <n v="12"/>
    <n v="973"/>
    <n v="1.418439716312057"/>
    <n v="98.581560283687935"/>
  </r>
  <r>
    <d v="2026-02-13T00:00:00"/>
    <s v="Line A"/>
    <x v="1"/>
    <x v="3"/>
    <x v="253"/>
    <n v="13"/>
    <n v="5"/>
    <n v="895"/>
    <n v="1.4317180616740091"/>
    <n v="98.568281938325995"/>
  </r>
  <r>
    <d v="2026-02-13T00:00:00"/>
    <s v="Line A"/>
    <x v="2"/>
    <x v="1"/>
    <x v="225"/>
    <n v="24"/>
    <n v="38"/>
    <n v="724"/>
    <n v="3.2085561497326212"/>
    <n v="96.791443850267385"/>
  </r>
  <r>
    <d v="2026-02-13T00:00:00"/>
    <s v="Line B"/>
    <x v="0"/>
    <x v="3"/>
    <x v="231"/>
    <n v="20"/>
    <n v="37"/>
    <n v="791"/>
    <n v="2.466091245376079"/>
    <n v="97.533908754623923"/>
  </r>
  <r>
    <d v="2026-02-13T00:00:00"/>
    <s v="Line B"/>
    <x v="1"/>
    <x v="0"/>
    <x v="124"/>
    <n v="19"/>
    <n v="59"/>
    <n v="775"/>
    <n v="2.3929471032745591"/>
    <n v="97.607052896725449"/>
  </r>
  <r>
    <d v="2026-02-13T00:00:00"/>
    <s v="Line B"/>
    <x v="2"/>
    <x v="1"/>
    <x v="140"/>
    <n v="32"/>
    <n v="7"/>
    <n v="723"/>
    <n v="4.2384105960264904"/>
    <n v="95.761589403973517"/>
  </r>
  <r>
    <d v="2026-02-13T00:00:00"/>
    <s v="Line C"/>
    <x v="0"/>
    <x v="0"/>
    <x v="46"/>
    <n v="29"/>
    <n v="31"/>
    <n v="801"/>
    <n v="3.4939759036144582"/>
    <n v="96.506024096385545"/>
  </r>
  <r>
    <d v="2026-02-13T00:00:00"/>
    <s v="Line C"/>
    <x v="1"/>
    <x v="0"/>
    <x v="254"/>
    <n v="26"/>
    <n v="22"/>
    <n v="733"/>
    <n v="3.4255599472990781"/>
    <n v="96.574440052700922"/>
  </r>
  <r>
    <d v="2026-02-13T00:00:00"/>
    <s v="Line C"/>
    <x v="2"/>
    <x v="3"/>
    <x v="141"/>
    <n v="29"/>
    <n v="67"/>
    <n v="632"/>
    <n v="4.3872919818456886"/>
    <n v="95.612708018154308"/>
  </r>
  <r>
    <d v="2026-02-14T00:00:00"/>
    <s v="Line A"/>
    <x v="0"/>
    <x v="1"/>
    <x v="255"/>
    <n v="18"/>
    <n v="51"/>
    <n v="807"/>
    <n v="2.1818181818181821"/>
    <n v="97.818181818181813"/>
  </r>
  <r>
    <d v="2026-02-14T00:00:00"/>
    <s v="Line A"/>
    <x v="1"/>
    <x v="1"/>
    <x v="144"/>
    <n v="19"/>
    <n v="55"/>
    <n v="826"/>
    <n v="2.248520710059172"/>
    <n v="97.751479289940818"/>
  </r>
  <r>
    <d v="2026-02-14T00:00:00"/>
    <s v="Line A"/>
    <x v="2"/>
    <x v="0"/>
    <x v="97"/>
    <n v="22"/>
    <n v="20"/>
    <n v="858"/>
    <n v="2.5"/>
    <n v="97.5"/>
  </r>
  <r>
    <d v="2026-02-14T00:00:00"/>
    <s v="Line B"/>
    <x v="0"/>
    <x v="3"/>
    <x v="67"/>
    <n v="21"/>
    <n v="42"/>
    <n v="823"/>
    <n v="2.488151658767773"/>
    <n v="97.511848341232238"/>
  </r>
  <r>
    <d v="2026-02-14T00:00:00"/>
    <s v="Line B"/>
    <x v="1"/>
    <x v="1"/>
    <x v="133"/>
    <n v="24"/>
    <n v="56"/>
    <n v="707"/>
    <n v="3.2831737346101231"/>
    <n v="96.716826265389884"/>
  </r>
  <r>
    <d v="2026-02-14T00:00:00"/>
    <s v="Line B"/>
    <x v="2"/>
    <x v="0"/>
    <x v="5"/>
    <n v="27"/>
    <n v="25"/>
    <n v="756"/>
    <n v="3.4482758620689649"/>
    <n v="96.551724137931032"/>
  </r>
  <r>
    <d v="2026-02-14T00:00:00"/>
    <s v="Line C"/>
    <x v="0"/>
    <x v="0"/>
    <x v="110"/>
    <n v="27"/>
    <n v="18"/>
    <n v="768"/>
    <n v="3.3962264150943402"/>
    <n v="96.603773584905667"/>
  </r>
  <r>
    <d v="2026-02-14T00:00:00"/>
    <s v="Line C"/>
    <x v="1"/>
    <x v="2"/>
    <x v="222"/>
    <n v="29"/>
    <n v="26"/>
    <n v="818"/>
    <n v="3.4238488783943328"/>
    <n v="96.576151121605676"/>
  </r>
  <r>
    <d v="2026-02-14T00:00:00"/>
    <s v="Line C"/>
    <x v="2"/>
    <x v="1"/>
    <x v="50"/>
    <n v="32"/>
    <n v="33"/>
    <n v="580"/>
    <n v="5.2287581699346406"/>
    <n v="94.77124183006535"/>
  </r>
  <r>
    <d v="2026-02-15T00:00:00"/>
    <s v="Line A"/>
    <x v="0"/>
    <x v="1"/>
    <x v="203"/>
    <n v="19"/>
    <n v="65"/>
    <n v="830"/>
    <n v="2.237926972909305"/>
    <n v="97.762073027090693"/>
  </r>
  <r>
    <d v="2026-02-15T00:00:00"/>
    <s v="Line A"/>
    <x v="1"/>
    <x v="1"/>
    <x v="6"/>
    <n v="18"/>
    <n v="64"/>
    <n v="789"/>
    <n v="2.2304832713754652"/>
    <n v="97.769516728624538"/>
  </r>
  <r>
    <d v="2026-02-15T00:00:00"/>
    <s v="Line A"/>
    <x v="2"/>
    <x v="3"/>
    <x v="250"/>
    <n v="19"/>
    <n v="70"/>
    <n v="762"/>
    <n v="2.432778489116517"/>
    <n v="97.567221510883485"/>
  </r>
  <r>
    <d v="2026-02-15T00:00:00"/>
    <s v="Line B"/>
    <x v="0"/>
    <x v="3"/>
    <x v="44"/>
    <n v="21"/>
    <n v="62"/>
    <n v="819"/>
    <n v="2.5"/>
    <n v="97.5"/>
  </r>
  <r>
    <d v="2026-02-15T00:00:00"/>
    <s v="Line B"/>
    <x v="1"/>
    <x v="0"/>
    <x v="200"/>
    <n v="19"/>
    <n v="80"/>
    <n v="772"/>
    <n v="2.4020227560050569"/>
    <n v="97.597977243994933"/>
  </r>
  <r>
    <d v="2026-02-15T00:00:00"/>
    <s v="Line B"/>
    <x v="2"/>
    <x v="0"/>
    <x v="101"/>
    <n v="24"/>
    <n v="90"/>
    <n v="681"/>
    <n v="3.4042553191489362"/>
    <n v="96.595744680851055"/>
  </r>
  <r>
    <d v="2026-02-15T00:00:00"/>
    <s v="Line C"/>
    <x v="0"/>
    <x v="3"/>
    <x v="133"/>
    <n v="25"/>
    <n v="54"/>
    <n v="706"/>
    <n v="3.4199726402188779"/>
    <n v="96.580027359781113"/>
  </r>
  <r>
    <d v="2026-02-15T00:00:00"/>
    <s v="Line C"/>
    <x v="1"/>
    <x v="0"/>
    <x v="220"/>
    <n v="27"/>
    <n v="4"/>
    <n v="753"/>
    <n v="3.4615384615384621"/>
    <n v="96.538461538461533"/>
  </r>
  <r>
    <d v="2026-02-15T00:00:00"/>
    <s v="Line C"/>
    <x v="2"/>
    <x v="1"/>
    <x v="256"/>
    <n v="31"/>
    <n v="74"/>
    <n v="558"/>
    <n v="5.2631578947368416"/>
    <n v="94.73684210526315"/>
  </r>
  <r>
    <d v="2026-02-16T00:00:00"/>
    <s v="Line A"/>
    <x v="0"/>
    <x v="1"/>
    <x v="6"/>
    <n v="18"/>
    <n v="87"/>
    <n v="789"/>
    <n v="2.2304832713754652"/>
    <n v="97.769516728624538"/>
  </r>
  <r>
    <d v="2026-02-16T00:00:00"/>
    <s v="Line A"/>
    <x v="1"/>
    <x v="2"/>
    <x v="257"/>
    <n v="15"/>
    <n v="7"/>
    <n v="1016"/>
    <n v="1.4548981571290009"/>
    <n v="98.545101842870992"/>
  </r>
  <r>
    <d v="2026-02-16T00:00:00"/>
    <s v="Line A"/>
    <x v="2"/>
    <x v="1"/>
    <x v="160"/>
    <n v="26"/>
    <n v="29"/>
    <n v="776"/>
    <n v="3.2418952618453871"/>
    <n v="96.758104738154614"/>
  </r>
  <r>
    <d v="2026-02-16T00:00:00"/>
    <s v="Line B"/>
    <x v="0"/>
    <x v="0"/>
    <x v="213"/>
    <n v="24"/>
    <n v="11"/>
    <n v="951"/>
    <n v="2.4615384615384621"/>
    <n v="97.538461538461547"/>
  </r>
  <r>
    <d v="2026-02-16T00:00:00"/>
    <s v="Line B"/>
    <x v="1"/>
    <x v="3"/>
    <x v="258"/>
    <n v="20"/>
    <n v="1"/>
    <n v="804"/>
    <n v="2.4271844660194168"/>
    <n v="97.572815533980588"/>
  </r>
  <r>
    <d v="2026-02-16T00:00:00"/>
    <s v="Line B"/>
    <x v="2"/>
    <x v="3"/>
    <x v="259"/>
    <n v="25"/>
    <n v="49"/>
    <n v="700"/>
    <n v="3.4482758620689649"/>
    <n v="96.551724137931032"/>
  </r>
  <r>
    <d v="2026-02-16T00:00:00"/>
    <s v="Line C"/>
    <x v="0"/>
    <x v="0"/>
    <x v="260"/>
    <n v="30"/>
    <n v="16"/>
    <n v="841"/>
    <n v="3.4443168771526982"/>
    <n v="96.555683122847299"/>
  </r>
  <r>
    <d v="2026-02-16T00:00:00"/>
    <s v="Line C"/>
    <x v="1"/>
    <x v="1"/>
    <x v="261"/>
    <n v="28"/>
    <n v="63"/>
    <n v="628"/>
    <n v="4.2682926829268304"/>
    <n v="95.731707317073173"/>
  </r>
  <r>
    <d v="2026-02-16T00:00:00"/>
    <s v="Line C"/>
    <x v="2"/>
    <x v="1"/>
    <x v="262"/>
    <n v="31"/>
    <n v="57"/>
    <n v="561"/>
    <n v="5.2364864864864868"/>
    <n v="94.763513513513516"/>
  </r>
  <r>
    <d v="2026-02-17T00:00:00"/>
    <s v="Line A"/>
    <x v="0"/>
    <x v="0"/>
    <x v="263"/>
    <n v="13"/>
    <n v="77"/>
    <n v="916"/>
    <n v="1.399354144241119"/>
    <n v="98.600645855758884"/>
  </r>
  <r>
    <d v="2026-02-17T00:00:00"/>
    <s v="Line A"/>
    <x v="1"/>
    <x v="0"/>
    <x v="74"/>
    <n v="13"/>
    <n v="41"/>
    <n v="899"/>
    <n v="1.4254385964912279"/>
    <n v="98.574561403508781"/>
  </r>
  <r>
    <d v="2026-02-17T00:00:00"/>
    <s v="Line A"/>
    <x v="2"/>
    <x v="1"/>
    <x v="25"/>
    <n v="24"/>
    <n v="86"/>
    <n v="706"/>
    <n v="3.2876712328767121"/>
    <n v="96.712328767123296"/>
  </r>
  <r>
    <d v="2026-02-17T00:00:00"/>
    <s v="Line B"/>
    <x v="0"/>
    <x v="3"/>
    <x v="264"/>
    <n v="19"/>
    <n v="70"/>
    <n v="768"/>
    <n v="2.4142312579415499"/>
    <n v="97.585768742058448"/>
  </r>
  <r>
    <d v="2026-02-17T00:00:00"/>
    <s v="Line B"/>
    <x v="1"/>
    <x v="2"/>
    <x v="265"/>
    <n v="19"/>
    <n v="90"/>
    <n v="769"/>
    <n v="2.4111675126903549"/>
    <n v="97.588832487309645"/>
  </r>
  <r>
    <d v="2026-02-17T00:00:00"/>
    <s v="Line C"/>
    <x v="0"/>
    <x v="3"/>
    <x v="200"/>
    <n v="27"/>
    <n v="19"/>
    <n v="764"/>
    <n v="3.413400758533502"/>
    <n v="96.586599241466502"/>
  </r>
  <r>
    <d v="2026-02-17T00:00:00"/>
    <s v="Line C"/>
    <x v="1"/>
    <x v="1"/>
    <x v="15"/>
    <n v="31"/>
    <n v="9"/>
    <n v="713"/>
    <n v="4.1666666666666661"/>
    <n v="95.833333333333343"/>
  </r>
  <r>
    <d v="2026-02-17T00:00:00"/>
    <s v="Line C"/>
    <x v="2"/>
    <x v="3"/>
    <x v="147"/>
    <n v="27"/>
    <n v="81"/>
    <n v="593"/>
    <n v="4.354838709677419"/>
    <n v="95.645161290322577"/>
  </r>
  <r>
    <d v="2026-02-18T00:00:00"/>
    <s v="Line A"/>
    <x v="0"/>
    <x v="3"/>
    <x v="199"/>
    <n v="13"/>
    <n v="52"/>
    <n v="864"/>
    <n v="1.4823261117445841"/>
    <n v="98.517673888255416"/>
  </r>
  <r>
    <d v="2026-02-18T00:00:00"/>
    <s v="Line A"/>
    <x v="1"/>
    <x v="0"/>
    <x v="104"/>
    <n v="13"/>
    <n v="43"/>
    <n v="865"/>
    <n v="1.480637813211845"/>
    <n v="98.519362186788157"/>
  </r>
  <r>
    <d v="2026-02-18T00:00:00"/>
    <s v="Line A"/>
    <x v="2"/>
    <x v="2"/>
    <x v="180"/>
    <n v="23"/>
    <n v="8"/>
    <n v="922"/>
    <n v="2.4338624338624339"/>
    <n v="97.56613756613757"/>
  </r>
  <r>
    <d v="2026-02-18T00:00:00"/>
    <s v="Line B"/>
    <x v="0"/>
    <x v="1"/>
    <x v="46"/>
    <n v="27"/>
    <n v="4"/>
    <n v="803"/>
    <n v="3.2530120481927711"/>
    <n v="96.746987951807228"/>
  </r>
  <r>
    <d v="2026-02-18T00:00:00"/>
    <s v="Line B"/>
    <x v="1"/>
    <x v="1"/>
    <x v="124"/>
    <n v="26"/>
    <n v="7"/>
    <n v="768"/>
    <n v="3.2745591939546599"/>
    <n v="96.725440806045341"/>
  </r>
  <r>
    <d v="2026-02-18T00:00:00"/>
    <s v="Line B"/>
    <x v="2"/>
    <x v="3"/>
    <x v="228"/>
    <n v="24"/>
    <n v="82"/>
    <n v="677"/>
    <n v="3.4236804564907271"/>
    <n v="96.576319543509271"/>
  </r>
  <r>
    <d v="2026-02-18T00:00:00"/>
    <s v="Line C"/>
    <x v="0"/>
    <x v="0"/>
    <x v="244"/>
    <n v="29"/>
    <n v="12"/>
    <n v="823"/>
    <n v="3.403755868544601"/>
    <n v="96.596244131455393"/>
  </r>
  <r>
    <d v="2026-02-18T00:00:00"/>
    <s v="Line C"/>
    <x v="1"/>
    <x v="0"/>
    <x v="265"/>
    <n v="27"/>
    <n v="38"/>
    <n v="761"/>
    <n v="3.4263959390862939"/>
    <n v="96.573604060913709"/>
  </r>
  <r>
    <d v="2026-02-18T00:00:00"/>
    <s v="Line C"/>
    <x v="2"/>
    <x v="1"/>
    <x v="266"/>
    <n v="29"/>
    <n v="86"/>
    <n v="532"/>
    <n v="5.169340463458111"/>
    <n v="94.830659536541901"/>
  </r>
  <r>
    <d v="2026-02-19T00:00:00"/>
    <s v="Line A"/>
    <x v="0"/>
    <x v="2"/>
    <x v="267"/>
    <n v="16"/>
    <n v="14"/>
    <n v="1109"/>
    <n v="1.4222222222222221"/>
    <n v="98.577777777777769"/>
  </r>
  <r>
    <d v="2026-02-19T00:00:00"/>
    <s v="Line A"/>
    <x v="1"/>
    <x v="0"/>
    <x v="119"/>
    <n v="12"/>
    <n v="66"/>
    <n v="847"/>
    <n v="1.3969732246798601"/>
    <n v="98.603026775320131"/>
  </r>
  <r>
    <d v="2026-02-19T00:00:00"/>
    <s v="Line A"/>
    <x v="2"/>
    <x v="0"/>
    <x v="268"/>
    <n v="20"/>
    <n v="74"/>
    <n v="814"/>
    <n v="2.398081534772182"/>
    <n v="97.601918465227826"/>
  </r>
  <r>
    <d v="2026-02-19T00:00:00"/>
    <s v="Line B"/>
    <x v="0"/>
    <x v="1"/>
    <x v="15"/>
    <n v="24"/>
    <n v="47"/>
    <n v="720"/>
    <n v="3.225806451612903"/>
    <n v="96.774193548387103"/>
  </r>
  <r>
    <d v="2026-02-19T00:00:00"/>
    <s v="Line B"/>
    <x v="1"/>
    <x v="3"/>
    <x v="126"/>
    <n v="20"/>
    <n v="45"/>
    <n v="801"/>
    <n v="2.4360535931790501"/>
    <n v="97.563946406820946"/>
  </r>
  <r>
    <d v="2026-02-19T00:00:00"/>
    <s v="Line B"/>
    <x v="2"/>
    <x v="2"/>
    <x v="85"/>
    <n v="27"/>
    <n v="54"/>
    <n v="746"/>
    <n v="3.492884864165589"/>
    <n v="96.507115135834411"/>
  </r>
  <r>
    <d v="2026-02-19T00:00:00"/>
    <s v="Line C"/>
    <x v="0"/>
    <x v="0"/>
    <x v="48"/>
    <n v="26"/>
    <n v="66"/>
    <n v="740"/>
    <n v="3.3942558746736302"/>
    <n v="96.605744125326382"/>
  </r>
  <r>
    <d v="2026-02-19T00:00:00"/>
    <s v="Line C"/>
    <x v="1"/>
    <x v="1"/>
    <x v="269"/>
    <n v="25"/>
    <n v="89"/>
    <n v="579"/>
    <n v="4.1390728476821197"/>
    <n v="95.860927152317871"/>
  </r>
  <r>
    <d v="2026-02-19T00:00:00"/>
    <s v="Line C"/>
    <x v="2"/>
    <x v="3"/>
    <x v="270"/>
    <n v="27"/>
    <n v="51"/>
    <n v="594"/>
    <n v="4.3478260869565224"/>
    <n v="95.652173913043484"/>
  </r>
  <r>
    <d v="2026-02-20T00:00:00"/>
    <s v="Line A"/>
    <x v="0"/>
    <x v="1"/>
    <x v="271"/>
    <n v="20"/>
    <n v="29"/>
    <n v="856"/>
    <n v="2.2831050228310499"/>
    <n v="97.716894977168948"/>
  </r>
  <r>
    <d v="2026-02-20T00:00:00"/>
    <s v="Line A"/>
    <x v="1"/>
    <x v="0"/>
    <x v="272"/>
    <n v="13"/>
    <n v="44"/>
    <n v="900"/>
    <n v="1.4238773274917851"/>
    <n v="98.57612267250822"/>
  </r>
  <r>
    <d v="2026-02-20T00:00:00"/>
    <s v="Line A"/>
    <x v="2"/>
    <x v="0"/>
    <x v="273"/>
    <n v="22"/>
    <n v="25"/>
    <n v="859"/>
    <n v="2.49716231555051"/>
    <n v="97.502837684449489"/>
  </r>
  <r>
    <d v="2026-02-20T00:00:00"/>
    <s v="Line B"/>
    <x v="0"/>
    <x v="2"/>
    <x v="119"/>
    <n v="21"/>
    <n v="77"/>
    <n v="838"/>
    <n v="2.4447031431897561"/>
    <n v="97.555296856810244"/>
  </r>
  <r>
    <d v="2026-02-20T00:00:00"/>
    <s v="Line B"/>
    <x v="1"/>
    <x v="0"/>
    <x v="274"/>
    <n v="22"/>
    <n v="0"/>
    <n v="881"/>
    <n v="2.436323366555925"/>
    <n v="97.563676633444075"/>
  </r>
  <r>
    <d v="2026-02-20T00:00:00"/>
    <s v="Line B"/>
    <x v="2"/>
    <x v="1"/>
    <x v="249"/>
    <n v="27"/>
    <n v="64"/>
    <n v="614"/>
    <n v="4.2121684867394693"/>
    <n v="95.787831513260528"/>
  </r>
  <r>
    <d v="2026-02-20T00:00:00"/>
    <s v="Line C"/>
    <x v="0"/>
    <x v="3"/>
    <x v="22"/>
    <n v="28"/>
    <n v="19"/>
    <n v="791"/>
    <n v="3.4188034188034191"/>
    <n v="96.581196581196579"/>
  </r>
  <r>
    <d v="2026-02-20T00:00:00"/>
    <s v="Line C"/>
    <x v="1"/>
    <x v="2"/>
    <x v="244"/>
    <n v="29"/>
    <n v="11"/>
    <n v="823"/>
    <n v="3.403755868544601"/>
    <n v="96.596244131455393"/>
  </r>
  <r>
    <d v="2026-02-20T00:00:00"/>
    <s v="Line C"/>
    <x v="2"/>
    <x v="2"/>
    <x v="233"/>
    <n v="32"/>
    <n v="66"/>
    <n v="682"/>
    <n v="4.4817927170868348"/>
    <n v="95.518207282913167"/>
  </r>
  <r>
    <d v="2026-02-21T00:00:00"/>
    <s v="Line A"/>
    <x v="0"/>
    <x v="0"/>
    <x v="275"/>
    <n v="14"/>
    <n v="30"/>
    <n v="965"/>
    <n v="1.4300306435137899"/>
    <n v="98.569969356486212"/>
  </r>
  <r>
    <d v="2026-02-21T00:00:00"/>
    <s v="Line A"/>
    <x v="1"/>
    <x v="0"/>
    <x v="276"/>
    <n v="13"/>
    <n v="59"/>
    <n v="888"/>
    <n v="1.44284128745838"/>
    <n v="98.557158712541622"/>
  </r>
  <r>
    <d v="2026-02-21T00:00:00"/>
    <s v="Line A"/>
    <x v="2"/>
    <x v="1"/>
    <x v="171"/>
    <n v="22"/>
    <n v="79"/>
    <n v="662"/>
    <n v="3.2163742690058479"/>
    <n v="96.783625730994146"/>
  </r>
  <r>
    <d v="2026-02-21T00:00:00"/>
    <s v="Line B"/>
    <x v="0"/>
    <x v="3"/>
    <x v="227"/>
    <n v="19"/>
    <n v="84"/>
    <n v="763"/>
    <n v="2.429667519181586"/>
    <n v="97.570332480818408"/>
  </r>
  <r>
    <d v="2026-02-21T00:00:00"/>
    <s v="Line B"/>
    <x v="1"/>
    <x v="0"/>
    <x v="108"/>
    <n v="22"/>
    <n v="25"/>
    <n v="885"/>
    <n v="2.4255788313120181"/>
    <n v="97.574421168687991"/>
  </r>
  <r>
    <d v="2026-02-21T00:00:00"/>
    <s v="Line B"/>
    <x v="2"/>
    <x v="3"/>
    <x v="277"/>
    <n v="24"/>
    <n v="56"/>
    <n v="671"/>
    <n v="3.4532374100719418"/>
    <n v="96.546762589928065"/>
  </r>
  <r>
    <d v="2026-02-21T00:00:00"/>
    <s v="Line C"/>
    <x v="0"/>
    <x v="2"/>
    <x v="203"/>
    <n v="29"/>
    <n v="19"/>
    <n v="820"/>
    <n v="3.4157832744405181"/>
    <n v="96.584216725559486"/>
  </r>
  <r>
    <d v="2026-02-21T00:00:00"/>
    <s v="Line C"/>
    <x v="1"/>
    <x v="0"/>
    <x v="24"/>
    <n v="26"/>
    <n v="18"/>
    <n v="724"/>
    <n v="3.4666666666666659"/>
    <n v="96.533333333333331"/>
  </r>
  <r>
    <d v="2026-02-21T00:00:00"/>
    <s v="Line C"/>
    <x v="2"/>
    <x v="2"/>
    <x v="278"/>
    <n v="33"/>
    <n v="49"/>
    <n v="712"/>
    <n v="4.4295302013422821"/>
    <n v="95.570469798657726"/>
  </r>
  <r>
    <d v="2026-02-22T00:00:00"/>
    <s v="Line A"/>
    <x v="0"/>
    <x v="3"/>
    <x v="224"/>
    <n v="14"/>
    <n v="5"/>
    <n v="937"/>
    <n v="1.4721345951629861"/>
    <n v="98.527865404837016"/>
  </r>
  <r>
    <d v="2026-02-22T00:00:00"/>
    <s v="Line A"/>
    <x v="1"/>
    <x v="1"/>
    <x v="200"/>
    <n v="18"/>
    <n v="65"/>
    <n v="773"/>
    <n v="2.2756005056890012"/>
    <n v="97.724399494311001"/>
  </r>
  <r>
    <d v="2026-02-22T00:00:00"/>
    <s v="Line A"/>
    <x v="2"/>
    <x v="2"/>
    <x v="139"/>
    <n v="22"/>
    <n v="33"/>
    <n v="887"/>
    <n v="2.4202420242024201"/>
    <n v="97.579757975797577"/>
  </r>
  <r>
    <d v="2026-02-22T00:00:00"/>
    <s v="Line B"/>
    <x v="0"/>
    <x v="3"/>
    <x v="254"/>
    <n v="18"/>
    <n v="72"/>
    <n v="741"/>
    <n v="2.3715415019762842"/>
    <n v="97.628458498023718"/>
  </r>
  <r>
    <d v="2026-02-22T00:00:00"/>
    <s v="Line B"/>
    <x v="1"/>
    <x v="2"/>
    <x v="123"/>
    <n v="20"/>
    <n v="74"/>
    <n v="815"/>
    <n v="2.395209580838324"/>
    <n v="97.604790419161674"/>
  </r>
  <r>
    <d v="2026-02-22T00:00:00"/>
    <s v="Line B"/>
    <x v="2"/>
    <x v="0"/>
    <x v="279"/>
    <n v="24"/>
    <n v="70"/>
    <n v="680"/>
    <n v="3.4090909090909092"/>
    <n v="96.590909090909093"/>
  </r>
  <r>
    <d v="2026-02-22T00:00:00"/>
    <s v="Line C"/>
    <x v="0"/>
    <x v="1"/>
    <x v="95"/>
    <n v="30"/>
    <n v="13"/>
    <n v="690"/>
    <n v="4.1666666666666661"/>
    <n v="95.833333333333343"/>
  </r>
  <r>
    <d v="2026-02-22T00:00:00"/>
    <s v="Line C"/>
    <x v="1"/>
    <x v="2"/>
    <x v="271"/>
    <n v="30"/>
    <n v="7"/>
    <n v="846"/>
    <n v="3.4246575342465748"/>
    <n v="96.575342465753423"/>
  </r>
  <r>
    <d v="2026-02-22T00:00:00"/>
    <s v="Line C"/>
    <x v="2"/>
    <x v="3"/>
    <x v="280"/>
    <n v="29"/>
    <n v="38"/>
    <n v="629"/>
    <n v="4.4072948328267474"/>
    <n v="95.59270516717325"/>
  </r>
  <r>
    <d v="2026-02-23T00:00:00"/>
    <s v="Line A"/>
    <x v="0"/>
    <x v="1"/>
    <x v="281"/>
    <n v="19"/>
    <n v="26"/>
    <n v="848"/>
    <n v="2.1914648212226071"/>
    <n v="97.80853517877739"/>
  </r>
  <r>
    <d v="2026-02-23T00:00:00"/>
    <s v="Line A"/>
    <x v="1"/>
    <x v="1"/>
    <x v="5"/>
    <n v="18"/>
    <n v="69"/>
    <n v="765"/>
    <n v="2.298850574712644"/>
    <n v="97.701149425287355"/>
  </r>
  <r>
    <d v="2026-02-23T00:00:00"/>
    <s v="Line A"/>
    <x v="2"/>
    <x v="3"/>
    <x v="220"/>
    <n v="19"/>
    <n v="44"/>
    <n v="761"/>
    <n v="2.4358974358974361"/>
    <n v="97.564102564102555"/>
  </r>
  <r>
    <d v="2026-02-23T00:00:00"/>
    <s v="Line B"/>
    <x v="0"/>
    <x v="2"/>
    <x v="51"/>
    <n v="23"/>
    <n v="27"/>
    <n v="907"/>
    <n v="2.4731182795698921"/>
    <n v="97.526881720430097"/>
  </r>
  <r>
    <d v="2026-02-23T00:00:00"/>
    <s v="Line B"/>
    <x v="1"/>
    <x v="0"/>
    <x v="281"/>
    <n v="21"/>
    <n v="36"/>
    <n v="846"/>
    <n v="2.422145328719723"/>
    <n v="97.577854671280278"/>
  </r>
  <r>
    <d v="2026-02-23T00:00:00"/>
    <s v="Line B"/>
    <x v="2"/>
    <x v="2"/>
    <x v="85"/>
    <n v="27"/>
    <n v="46"/>
    <n v="746"/>
    <n v="3.492884864165589"/>
    <n v="96.507115135834411"/>
  </r>
  <r>
    <d v="2026-02-23T00:00:00"/>
    <s v="Line C"/>
    <x v="0"/>
    <x v="3"/>
    <x v="189"/>
    <n v="27"/>
    <n v="16"/>
    <n v="752"/>
    <n v="3.4659820282413349"/>
    <n v="96.534017971758672"/>
  </r>
  <r>
    <d v="2026-02-23T00:00:00"/>
    <s v="Line C"/>
    <x v="1"/>
    <x v="0"/>
    <x v="59"/>
    <n v="25"/>
    <n v="75"/>
    <n v="701"/>
    <n v="3.443526170798898"/>
    <n v="96.55647382920111"/>
  </r>
  <r>
    <d v="2026-02-23T00:00:00"/>
    <s v="Line C"/>
    <x v="2"/>
    <x v="3"/>
    <x v="125"/>
    <n v="33"/>
    <n v="0"/>
    <n v="704"/>
    <n v="4.4776119402985071"/>
    <n v="95.522388059701484"/>
  </r>
  <r>
    <d v="2026-02-24T00:00:00"/>
    <s v="Line A"/>
    <x v="0"/>
    <x v="2"/>
    <x v="282"/>
    <n v="15"/>
    <n v="59"/>
    <n v="990"/>
    <n v="1.4925373134328359"/>
    <n v="98.507462686567166"/>
  </r>
  <r>
    <d v="2026-02-24T00:00:00"/>
    <s v="Line A"/>
    <x v="1"/>
    <x v="3"/>
    <x v="92"/>
    <n v="12"/>
    <n v="89"/>
    <n v="792"/>
    <n v="1.4925373134328359"/>
    <n v="98.507462686567166"/>
  </r>
  <r>
    <d v="2026-02-24T00:00:00"/>
    <s v="Line A"/>
    <x v="2"/>
    <x v="3"/>
    <x v="143"/>
    <n v="19"/>
    <n v="88"/>
    <n v="758"/>
    <n v="2.445302445302445"/>
    <n v="97.554697554697555"/>
  </r>
  <r>
    <d v="2026-02-24T00:00:00"/>
    <s v="Line B"/>
    <x v="0"/>
    <x v="1"/>
    <x v="94"/>
    <n v="24"/>
    <n v="73"/>
    <n v="704"/>
    <n v="3.296703296703297"/>
    <n v="96.703296703296701"/>
  </r>
  <r>
    <d v="2026-02-24T00:00:00"/>
    <s v="Line B"/>
    <x v="1"/>
    <x v="2"/>
    <x v="283"/>
    <n v="22"/>
    <n v="13"/>
    <n v="862"/>
    <n v="2.4886877828054299"/>
    <n v="97.511312217194572"/>
  </r>
  <r>
    <d v="2026-02-24T00:00:00"/>
    <s v="Line B"/>
    <x v="2"/>
    <x v="0"/>
    <x v="284"/>
    <n v="26"/>
    <n v="61"/>
    <n v="732"/>
    <n v="3.4300791556728232"/>
    <n v="96.569920844327171"/>
  </r>
  <r>
    <d v="2026-02-24T00:00:00"/>
    <s v="Line C"/>
    <x v="0"/>
    <x v="2"/>
    <x v="118"/>
    <n v="28"/>
    <n v="48"/>
    <n v="800"/>
    <n v="3.381642512077295"/>
    <n v="96.618357487922708"/>
  </r>
  <r>
    <d v="2026-02-24T00:00:00"/>
    <s v="Line C"/>
    <x v="1"/>
    <x v="0"/>
    <x v="219"/>
    <n v="28"/>
    <n v="23"/>
    <n v="773"/>
    <n v="3.4956304619225969"/>
    <n v="96.504369538077412"/>
  </r>
  <r>
    <d v="2026-02-24T00:00:00"/>
    <s v="Line C"/>
    <x v="2"/>
    <x v="1"/>
    <x v="64"/>
    <n v="32"/>
    <n v="57"/>
    <n v="574"/>
    <n v="5.2805280528052796"/>
    <n v="94.71947194719472"/>
  </r>
  <r>
    <d v="2026-02-25T00:00:00"/>
    <s v="Line A"/>
    <x v="0"/>
    <x v="2"/>
    <x v="190"/>
    <n v="13"/>
    <n v="78"/>
    <n v="897"/>
    <n v="1.428571428571429"/>
    <n v="98.571428571428584"/>
  </r>
  <r>
    <d v="2026-02-25T00:00:00"/>
    <s v="Line A"/>
    <x v="1"/>
    <x v="1"/>
    <x v="15"/>
    <n v="17"/>
    <n v="77"/>
    <n v="727"/>
    <n v="2.28494623655914"/>
    <n v="97.715053763440864"/>
  </r>
  <r>
    <d v="2026-02-25T00:00:00"/>
    <s v="Line A"/>
    <x v="2"/>
    <x v="0"/>
    <x v="23"/>
    <n v="21"/>
    <n v="26"/>
    <n v="833"/>
    <n v="2.459016393442623"/>
    <n v="97.540983606557376"/>
  </r>
  <r>
    <d v="2026-02-25T00:00:00"/>
    <s v="Line B"/>
    <x v="0"/>
    <x v="1"/>
    <x v="265"/>
    <n v="26"/>
    <n v="30"/>
    <n v="762"/>
    <n v="3.2994923857868019"/>
    <n v="96.700507614213194"/>
  </r>
  <r>
    <d v="2026-02-25T00:00:00"/>
    <s v="Line B"/>
    <x v="1"/>
    <x v="2"/>
    <x v="78"/>
    <n v="20"/>
    <n v="89"/>
    <n v="795"/>
    <n v="2.4539877300613502"/>
    <n v="97.546012269938657"/>
  </r>
  <r>
    <d v="2026-02-25T00:00:00"/>
    <s v="Line B"/>
    <x v="2"/>
    <x v="2"/>
    <x v="285"/>
    <n v="29"/>
    <n v="11"/>
    <n v="819"/>
    <n v="3.4198113207547172"/>
    <n v="96.580188679245282"/>
  </r>
  <r>
    <d v="2026-02-25T00:00:00"/>
    <s v="Line C"/>
    <x v="0"/>
    <x v="2"/>
    <x v="217"/>
    <n v="31"/>
    <n v="1"/>
    <n v="883"/>
    <n v="3.391684901531729"/>
    <n v="96.608315098468267"/>
  </r>
  <r>
    <d v="2026-02-25T00:00:00"/>
    <s v="Line C"/>
    <x v="1"/>
    <x v="1"/>
    <x v="286"/>
    <n v="27"/>
    <n v="39"/>
    <n v="623"/>
    <n v="4.1538461538461542"/>
    <n v="95.846153846153854"/>
  </r>
  <r>
    <d v="2026-02-25T00:00:00"/>
    <s v="Line C"/>
    <x v="2"/>
    <x v="1"/>
    <x v="287"/>
    <n v="30"/>
    <n v="80"/>
    <n v="544"/>
    <n v="5.2264808362369326"/>
    <n v="94.773519163763069"/>
  </r>
  <r>
    <d v="2026-02-26T00:00:00"/>
    <s v="Line A"/>
    <x v="0"/>
    <x v="2"/>
    <x v="129"/>
    <n v="14"/>
    <n v="66"/>
    <n v="943"/>
    <n v="1.462904911180773"/>
    <n v="98.537095088819228"/>
  </r>
  <r>
    <d v="2026-02-26T00:00:00"/>
    <s v="Line A"/>
    <x v="1"/>
    <x v="3"/>
    <x v="288"/>
    <n v="13"/>
    <n v="40"/>
    <n v="902"/>
    <n v="1.420765027322404"/>
    <n v="98.579234972677597"/>
  </r>
  <r>
    <d v="2026-02-26T00:00:00"/>
    <s v="Line A"/>
    <x v="2"/>
    <x v="1"/>
    <x v="289"/>
    <n v="22"/>
    <n v="87"/>
    <n v="674"/>
    <n v="3.160919540229886"/>
    <n v="96.839080459770116"/>
  </r>
  <r>
    <d v="2026-02-26T00:00:00"/>
    <s v="Line B"/>
    <x v="0"/>
    <x v="3"/>
    <x v="126"/>
    <n v="20"/>
    <n v="77"/>
    <n v="801"/>
    <n v="2.4360535931790501"/>
    <n v="97.563946406820946"/>
  </r>
  <r>
    <d v="2026-02-26T00:00:00"/>
    <s v="Line B"/>
    <x v="1"/>
    <x v="1"/>
    <x v="87"/>
    <n v="23"/>
    <n v="88"/>
    <n v="696"/>
    <n v="3.198887343532685"/>
    <n v="96.801112656467311"/>
  </r>
  <r>
    <d v="2026-02-26T00:00:00"/>
    <s v="Line B"/>
    <x v="2"/>
    <x v="2"/>
    <x v="98"/>
    <n v="27"/>
    <n v="52"/>
    <n v="758"/>
    <n v="3.4394904458598732"/>
    <n v="96.560509554140125"/>
  </r>
  <r>
    <d v="2026-02-26T00:00:00"/>
    <s v="Line C"/>
    <x v="1"/>
    <x v="2"/>
    <x v="258"/>
    <n v="28"/>
    <n v="25"/>
    <n v="796"/>
    <n v="3.3980582524271838"/>
    <n v="96.601941747572823"/>
  </r>
  <r>
    <d v="2026-02-26T00:00:00"/>
    <s v="Line C"/>
    <x v="2"/>
    <x v="0"/>
    <x v="290"/>
    <n v="31"/>
    <n v="14"/>
    <n v="672"/>
    <n v="4.4096728307254622"/>
    <n v="95.590327169274531"/>
  </r>
  <r>
    <d v="2026-02-27T00:00:00"/>
    <s v="Line A"/>
    <x v="0"/>
    <x v="1"/>
    <x v="253"/>
    <n v="20"/>
    <n v="44"/>
    <n v="888"/>
    <n v="2.2026431718061681"/>
    <n v="97.797356828193841"/>
  </r>
  <r>
    <d v="2026-02-27T00:00:00"/>
    <s v="Line A"/>
    <x v="1"/>
    <x v="0"/>
    <x v="123"/>
    <n v="12"/>
    <n v="72"/>
    <n v="823"/>
    <n v="1.437125748502994"/>
    <n v="98.562874251497007"/>
  </r>
  <r>
    <d v="2026-02-27T00:00:00"/>
    <s v="Line A"/>
    <x v="2"/>
    <x v="1"/>
    <x v="126"/>
    <n v="27"/>
    <n v="4"/>
    <n v="794"/>
    <n v="3.288672350791717"/>
    <n v="96.711327649208272"/>
  </r>
  <r>
    <d v="2026-02-27T00:00:00"/>
    <s v="Line B"/>
    <x v="0"/>
    <x v="3"/>
    <x v="168"/>
    <n v="22"/>
    <n v="24"/>
    <n v="876"/>
    <n v="2.4498886414253902"/>
    <n v="97.550111358574611"/>
  </r>
  <r>
    <d v="2026-02-27T00:00:00"/>
    <s v="Line B"/>
    <x v="1"/>
    <x v="2"/>
    <x v="55"/>
    <n v="21"/>
    <n v="83"/>
    <n v="822"/>
    <n v="2.4911032028469751"/>
    <n v="97.508896797153028"/>
  </r>
  <r>
    <d v="2026-02-27T00:00:00"/>
    <s v="Line B"/>
    <x v="2"/>
    <x v="1"/>
    <x v="87"/>
    <n v="30"/>
    <n v="37"/>
    <n v="689"/>
    <n v="4.1724617524339358"/>
    <n v="95.827538247566068"/>
  </r>
  <r>
    <d v="2026-02-27T00:00:00"/>
    <s v="Line C"/>
    <x v="0"/>
    <x v="2"/>
    <x v="76"/>
    <n v="28"/>
    <n v="45"/>
    <n v="775"/>
    <n v="3.486924034869241"/>
    <n v="96.513075965130753"/>
  </r>
  <r>
    <d v="2026-02-27T00:00:00"/>
    <s v="Line C"/>
    <x v="1"/>
    <x v="0"/>
    <x v="291"/>
    <n v="26"/>
    <n v="4"/>
    <n v="742"/>
    <n v="3.385416666666667"/>
    <n v="96.614583333333343"/>
  </r>
  <r>
    <d v="2026-02-27T00:00:00"/>
    <s v="Line C"/>
    <x v="2"/>
    <x v="3"/>
    <x v="290"/>
    <n v="31"/>
    <n v="4"/>
    <n v="672"/>
    <n v="4.4096728307254622"/>
    <n v="95.590327169274531"/>
  </r>
  <r>
    <d v="2026-02-28T00:00:00"/>
    <s v="Line A"/>
    <x v="0"/>
    <x v="0"/>
    <x v="129"/>
    <n v="14"/>
    <n v="23"/>
    <n v="943"/>
    <n v="1.462904911180773"/>
    <n v="98.537095088819228"/>
  </r>
  <r>
    <d v="2026-02-28T00:00:00"/>
    <s v="Line A"/>
    <x v="2"/>
    <x v="2"/>
    <x v="138"/>
    <n v="23"/>
    <n v="44"/>
    <n v="911"/>
    <n v="2.462526766595289"/>
    <n v="97.537473233404711"/>
  </r>
  <r>
    <d v="2026-02-28T00:00:00"/>
    <s v="Line B"/>
    <x v="0"/>
    <x v="2"/>
    <x v="178"/>
    <n v="21"/>
    <n v="60"/>
    <n v="840"/>
    <n v="2.4390243902439019"/>
    <n v="97.560975609756099"/>
  </r>
  <r>
    <d v="2026-02-28T00:00:00"/>
    <s v="Line B"/>
    <x v="1"/>
    <x v="1"/>
    <x v="21"/>
    <n v="23"/>
    <n v="51"/>
    <n v="698"/>
    <n v="3.19001386962552"/>
    <n v="96.809986130374483"/>
  </r>
  <r>
    <d v="2026-02-28T00:00:00"/>
    <s v="Line B"/>
    <x v="2"/>
    <x v="1"/>
    <x v="292"/>
    <n v="27"/>
    <n v="77"/>
    <n v="612"/>
    <n v="4.225352112676056"/>
    <n v="95.774647887323937"/>
  </r>
  <r>
    <d v="2026-02-28T00:00:00"/>
    <s v="Line C"/>
    <x v="0"/>
    <x v="2"/>
    <x v="293"/>
    <n v="29"/>
    <n v="62"/>
    <n v="817"/>
    <n v="3.4278959810874712"/>
    <n v="96.572104018912526"/>
  </r>
  <r>
    <d v="2026-02-28T00:00:00"/>
    <s v="Line C"/>
    <x v="1"/>
    <x v="0"/>
    <x v="294"/>
    <n v="27"/>
    <n v="7"/>
    <n v="766"/>
    <n v="3.404791929382093"/>
    <n v="96.595208070617915"/>
  </r>
  <r>
    <d v="2026-02-28T00:00:00"/>
    <s v="Line C"/>
    <x v="2"/>
    <x v="2"/>
    <x v="195"/>
    <n v="30"/>
    <n v="89"/>
    <n v="651"/>
    <n v="4.4052863436123353"/>
    <n v="95.594713656387668"/>
  </r>
  <r>
    <d v="2026-03-01T00:00:00"/>
    <s v="Line A"/>
    <x v="0"/>
    <x v="3"/>
    <x v="180"/>
    <n v="14"/>
    <n v="4"/>
    <n v="931"/>
    <n v="1.4814814814814821"/>
    <n v="98.518518518518519"/>
  </r>
  <r>
    <d v="2026-03-01T00:00:00"/>
    <s v="Line A"/>
    <x v="1"/>
    <x v="1"/>
    <x v="200"/>
    <n v="18"/>
    <n v="83"/>
    <n v="773"/>
    <n v="2.2756005056890012"/>
    <n v="97.724399494311001"/>
  </r>
  <r>
    <d v="2026-03-01T00:00:00"/>
    <s v="Line A"/>
    <x v="2"/>
    <x v="3"/>
    <x v="201"/>
    <n v="20"/>
    <n v="55"/>
    <n v="803"/>
    <n v="2.4301336573511541"/>
    <n v="97.569866342648851"/>
  </r>
  <r>
    <d v="2026-03-01T00:00:00"/>
    <s v="Line B"/>
    <x v="0"/>
    <x v="0"/>
    <x v="295"/>
    <n v="23"/>
    <n v="24"/>
    <n v="933"/>
    <n v="2.4058577405857742"/>
    <n v="97.594142259414227"/>
  </r>
  <r>
    <d v="2026-03-01T00:00:00"/>
    <s v="Line B"/>
    <x v="1"/>
    <x v="1"/>
    <x v="166"/>
    <n v="24"/>
    <n v="33"/>
    <n v="711"/>
    <n v="3.2653061224489801"/>
    <n v="96.734693877551024"/>
  </r>
  <r>
    <d v="2026-03-01T00:00:00"/>
    <s v="Line B"/>
    <x v="2"/>
    <x v="2"/>
    <x v="143"/>
    <n v="27"/>
    <n v="65"/>
    <n v="750"/>
    <n v="3.4749034749034751"/>
    <n v="96.525096525096515"/>
  </r>
  <r>
    <d v="2026-03-01T00:00:00"/>
    <s v="Line C"/>
    <x v="0"/>
    <x v="1"/>
    <x v="125"/>
    <n v="31"/>
    <n v="4"/>
    <n v="706"/>
    <n v="4.2062415196743546"/>
    <n v="95.793758480325636"/>
  </r>
  <r>
    <d v="2026-03-01T00:00:00"/>
    <s v="Line C"/>
    <x v="1"/>
    <x v="3"/>
    <x v="176"/>
    <n v="24"/>
    <n v="54"/>
    <n v="686"/>
    <n v="3.380281690140845"/>
    <n v="96.619718309859167"/>
  </r>
  <r>
    <d v="2026-03-01T00:00:00"/>
    <s v="Line C"/>
    <x v="2"/>
    <x v="3"/>
    <x v="146"/>
    <n v="31"/>
    <n v="33"/>
    <n v="661"/>
    <n v="4.4797687861271678"/>
    <n v="95.520231213872833"/>
  </r>
  <r>
    <d v="2026-03-02T00:00:00"/>
    <s v="Line A"/>
    <x v="0"/>
    <x v="2"/>
    <x v="296"/>
    <n v="16"/>
    <n v="25"/>
    <n v="1083"/>
    <n v="1.455868971792539"/>
    <n v="98.54413102820746"/>
  </r>
  <r>
    <d v="2026-03-02T00:00:00"/>
    <s v="Line A"/>
    <x v="1"/>
    <x v="3"/>
    <x v="263"/>
    <n v="13"/>
    <n v="3"/>
    <n v="916"/>
    <n v="1.399354144241119"/>
    <n v="98.600645855758884"/>
  </r>
  <r>
    <d v="2026-03-02T00:00:00"/>
    <s v="Line A"/>
    <x v="2"/>
    <x v="2"/>
    <x v="297"/>
    <n v="21"/>
    <n v="73"/>
    <n v="834"/>
    <n v="2.4561403508771931"/>
    <n v="97.543859649122808"/>
  </r>
  <r>
    <d v="2026-03-02T00:00:00"/>
    <s v="Line B"/>
    <x v="0"/>
    <x v="2"/>
    <x v="298"/>
    <n v="24"/>
    <n v="12"/>
    <n v="946"/>
    <n v="2.474226804123711"/>
    <n v="97.525773195876283"/>
  </r>
  <r>
    <d v="2026-03-02T00:00:00"/>
    <s v="Line B"/>
    <x v="1"/>
    <x v="2"/>
    <x v="299"/>
    <n v="19"/>
    <n v="88"/>
    <n v="757"/>
    <n v="2.4484536082474229"/>
    <n v="97.551546391752581"/>
  </r>
  <r>
    <d v="2026-03-02T00:00:00"/>
    <s v="Line B"/>
    <x v="2"/>
    <x v="2"/>
    <x v="300"/>
    <n v="25"/>
    <n v="83"/>
    <n v="714"/>
    <n v="3.3829499323410008"/>
    <n v="96.617050067658994"/>
  </r>
  <r>
    <d v="2026-03-02T00:00:00"/>
    <s v="Line C"/>
    <x v="0"/>
    <x v="0"/>
    <x v="11"/>
    <n v="28"/>
    <n v="53"/>
    <n v="790"/>
    <n v="3.4229828850855739"/>
    <n v="96.577017114914426"/>
  </r>
  <r>
    <d v="2026-03-02T00:00:00"/>
    <s v="Line C"/>
    <x v="1"/>
    <x v="3"/>
    <x v="301"/>
    <n v="24"/>
    <n v="79"/>
    <n v="662"/>
    <n v="3.4985422740524781"/>
    <n v="96.501457725947532"/>
  </r>
  <r>
    <d v="2026-03-02T00:00:00"/>
    <s v="Line C"/>
    <x v="2"/>
    <x v="2"/>
    <x v="125"/>
    <n v="33"/>
    <n v="50"/>
    <n v="704"/>
    <n v="4.4776119402985071"/>
    <n v="95.522388059701484"/>
  </r>
  <r>
    <d v="2026-03-03T00:00:00"/>
    <s v="Line A"/>
    <x v="0"/>
    <x v="2"/>
    <x v="129"/>
    <n v="14"/>
    <n v="60"/>
    <n v="943"/>
    <n v="1.462904911180773"/>
    <n v="98.537095088819228"/>
  </r>
  <r>
    <d v="2026-03-03T00:00:00"/>
    <s v="Line A"/>
    <x v="1"/>
    <x v="1"/>
    <x v="204"/>
    <n v="19"/>
    <n v="43"/>
    <n v="843"/>
    <n v="2.204176334106728"/>
    <n v="97.795823665893266"/>
  </r>
  <r>
    <d v="2026-03-03T00:00:00"/>
    <s v="Line A"/>
    <x v="2"/>
    <x v="3"/>
    <x v="225"/>
    <n v="18"/>
    <n v="65"/>
    <n v="730"/>
    <n v="2.4064171122994651"/>
    <n v="97.593582887700535"/>
  </r>
  <r>
    <d v="2026-03-03T00:00:00"/>
    <s v="Line B"/>
    <x v="0"/>
    <x v="1"/>
    <x v="119"/>
    <n v="28"/>
    <n v="6"/>
    <n v="831"/>
    <n v="3.2596041909196738"/>
    <n v="96.740395809080326"/>
  </r>
  <r>
    <d v="2026-03-03T00:00:00"/>
    <s v="Line B"/>
    <x v="1"/>
    <x v="2"/>
    <x v="117"/>
    <n v="23"/>
    <n v="16"/>
    <n v="914"/>
    <n v="2.454642475987193"/>
    <n v="97.545357524012815"/>
  </r>
  <r>
    <d v="2026-03-03T00:00:00"/>
    <s v="Line C"/>
    <x v="0"/>
    <x v="2"/>
    <x v="23"/>
    <n v="29"/>
    <n v="23"/>
    <n v="825"/>
    <n v="3.3957845433255271"/>
    <n v="96.604215456674467"/>
  </r>
  <r>
    <d v="2026-03-03T00:00:00"/>
    <s v="Line C"/>
    <x v="1"/>
    <x v="0"/>
    <x v="302"/>
    <n v="24"/>
    <n v="83"/>
    <n v="675"/>
    <n v="3.433476394849786"/>
    <n v="96.566523605150209"/>
  </r>
  <r>
    <d v="2026-03-03T00:00:00"/>
    <s v="Line C"/>
    <x v="2"/>
    <x v="3"/>
    <x v="303"/>
    <n v="30"/>
    <n v="40"/>
    <n v="637"/>
    <n v="4.497751124437781"/>
    <n v="95.502248875562231"/>
  </r>
  <r>
    <d v="2026-03-04T00:00:00"/>
    <s v="Line A"/>
    <x v="0"/>
    <x v="2"/>
    <x v="73"/>
    <n v="14"/>
    <n v="50"/>
    <n v="969"/>
    <n v="1.424211597151577"/>
    <n v="98.575788402848417"/>
  </r>
  <r>
    <d v="2026-03-04T00:00:00"/>
    <s v="Line A"/>
    <x v="1"/>
    <x v="2"/>
    <x v="129"/>
    <n v="14"/>
    <n v="70"/>
    <n v="943"/>
    <n v="1.462904911180773"/>
    <n v="98.537095088819228"/>
  </r>
  <r>
    <d v="2026-03-04T00:00:00"/>
    <s v="Line A"/>
    <x v="2"/>
    <x v="3"/>
    <x v="124"/>
    <n v="19"/>
    <n v="75"/>
    <n v="775"/>
    <n v="2.3929471032745591"/>
    <n v="97.607052896725449"/>
  </r>
  <r>
    <d v="2026-03-04T00:00:00"/>
    <s v="Line B"/>
    <x v="0"/>
    <x v="3"/>
    <x v="45"/>
    <n v="20"/>
    <n v="24"/>
    <n v="818"/>
    <n v="2.3866348448687349"/>
    <n v="97.613365155131262"/>
  </r>
  <r>
    <d v="2026-03-04T00:00:00"/>
    <s v="Line B"/>
    <x v="1"/>
    <x v="1"/>
    <x v="241"/>
    <n v="25"/>
    <n v="30"/>
    <n v="736"/>
    <n v="3.2851511169513801"/>
    <n v="96.714848883048617"/>
  </r>
  <r>
    <d v="2026-03-04T00:00:00"/>
    <s v="Line B"/>
    <x v="2"/>
    <x v="1"/>
    <x v="304"/>
    <n v="30"/>
    <n v="15"/>
    <n v="676"/>
    <n v="4.2492917847025504"/>
    <n v="95.75070821529745"/>
  </r>
  <r>
    <d v="2026-03-04T00:00:00"/>
    <s v="Line C"/>
    <x v="0"/>
    <x v="3"/>
    <x v="278"/>
    <n v="26"/>
    <n v="25"/>
    <n v="719"/>
    <n v="3.4899328859060401"/>
    <n v="96.510067114093957"/>
  </r>
  <r>
    <d v="2026-03-04T00:00:00"/>
    <s v="Line C"/>
    <x v="1"/>
    <x v="3"/>
    <x v="305"/>
    <n v="22"/>
    <n v="83"/>
    <n v="630"/>
    <n v="3.3742331288343559"/>
    <n v="96.625766871165638"/>
  </r>
  <r>
    <d v="2026-03-04T00:00:00"/>
    <s v="Line C"/>
    <x v="2"/>
    <x v="3"/>
    <x v="306"/>
    <n v="28"/>
    <n v="46"/>
    <n v="600"/>
    <n v="4.4585987261146496"/>
    <n v="95.541401273885356"/>
  </r>
  <r>
    <d v="2026-03-05T00:00:00"/>
    <s v="Line A"/>
    <x v="0"/>
    <x v="3"/>
    <x v="213"/>
    <n v="14"/>
    <n v="2"/>
    <n v="961"/>
    <n v="1.4358974358974359"/>
    <n v="98.564102564102569"/>
  </r>
  <r>
    <d v="2026-03-05T00:00:00"/>
    <s v="Line A"/>
    <x v="1"/>
    <x v="1"/>
    <x v="104"/>
    <n v="20"/>
    <n v="3"/>
    <n v="858"/>
    <n v="2.2779043280182232"/>
    <n v="97.722095671981776"/>
  </r>
  <r>
    <d v="2026-03-05T00:00:00"/>
    <s v="Line A"/>
    <x v="2"/>
    <x v="2"/>
    <x v="103"/>
    <n v="22"/>
    <n v="57"/>
    <n v="863"/>
    <n v="2.485875706214689"/>
    <n v="97.514124293785315"/>
  </r>
  <r>
    <d v="2026-03-05T00:00:00"/>
    <s v="Line B"/>
    <x v="0"/>
    <x v="3"/>
    <x v="209"/>
    <n v="20"/>
    <n v="49"/>
    <n v="802"/>
    <n v="2.4330900243308999"/>
    <n v="97.566909975669105"/>
  </r>
  <r>
    <d v="2026-03-05T00:00:00"/>
    <s v="Line B"/>
    <x v="1"/>
    <x v="2"/>
    <x v="132"/>
    <n v="22"/>
    <n v="32"/>
    <n v="875"/>
    <n v="2.4526198439241922"/>
    <n v="97.547380156075818"/>
  </r>
  <r>
    <d v="2026-03-05T00:00:00"/>
    <s v="Line B"/>
    <x v="2"/>
    <x v="1"/>
    <x v="307"/>
    <n v="27"/>
    <n v="85"/>
    <n v="607"/>
    <n v="4.2586750788643526"/>
    <n v="95.741324921135657"/>
  </r>
  <r>
    <d v="2026-03-05T00:00:00"/>
    <s v="Line C"/>
    <x v="0"/>
    <x v="1"/>
    <x v="90"/>
    <n v="31"/>
    <n v="39"/>
    <n v="698"/>
    <n v="4.252400548696845"/>
    <n v="95.747599451303159"/>
  </r>
  <r>
    <d v="2026-03-05T00:00:00"/>
    <s v="Line C"/>
    <x v="1"/>
    <x v="0"/>
    <x v="133"/>
    <n v="25"/>
    <n v="59"/>
    <n v="706"/>
    <n v="3.4199726402188779"/>
    <n v="96.580027359781113"/>
  </r>
  <r>
    <d v="2026-03-05T00:00:00"/>
    <s v="Line C"/>
    <x v="2"/>
    <x v="0"/>
    <x v="308"/>
    <n v="33"/>
    <n v="31"/>
    <n v="709"/>
    <n v="4.44743935309973"/>
    <n v="95.552560646900261"/>
  </r>
  <r>
    <d v="2026-03-06T00:00:00"/>
    <s v="Line A"/>
    <x v="0"/>
    <x v="0"/>
    <x v="309"/>
    <n v="15"/>
    <n v="12"/>
    <n v="1027"/>
    <n v="1.4395393474088289"/>
    <n v="98.560460652591175"/>
  </r>
  <r>
    <d v="2026-03-06T00:00:00"/>
    <s v="Line A"/>
    <x v="1"/>
    <x v="2"/>
    <x v="310"/>
    <n v="14"/>
    <n v="54"/>
    <n v="952"/>
    <n v="1.449275362318841"/>
    <n v="98.550724637681171"/>
  </r>
  <r>
    <d v="2026-03-06T00:00:00"/>
    <s v="Line A"/>
    <x v="2"/>
    <x v="3"/>
    <x v="203"/>
    <n v="21"/>
    <n v="19"/>
    <n v="828"/>
    <n v="2.473498233215548"/>
    <n v="97.526501766784463"/>
  </r>
  <r>
    <d v="2026-03-06T00:00:00"/>
    <s v="Line B"/>
    <x v="0"/>
    <x v="1"/>
    <x v="311"/>
    <n v="24"/>
    <n v="58"/>
    <n v="710"/>
    <n v="3.26975476839237"/>
    <n v="96.730245231607626"/>
  </r>
  <r>
    <d v="2026-03-06T00:00:00"/>
    <s v="Line B"/>
    <x v="1"/>
    <x v="3"/>
    <x v="279"/>
    <n v="17"/>
    <n v="84"/>
    <n v="687"/>
    <n v="2.4147727272727271"/>
    <n v="97.585227272727266"/>
  </r>
  <r>
    <d v="2026-03-06T00:00:00"/>
    <s v="Line B"/>
    <x v="2"/>
    <x v="1"/>
    <x v="79"/>
    <n v="28"/>
    <n v="88"/>
    <n v="634"/>
    <n v="4.2296072507552873"/>
    <n v="95.770392749244721"/>
  </r>
  <r>
    <d v="2026-03-06T00:00:00"/>
    <s v="Line C"/>
    <x v="0"/>
    <x v="2"/>
    <x v="253"/>
    <n v="31"/>
    <n v="18"/>
    <n v="877"/>
    <n v="3.41409691629956"/>
    <n v="96.585903083700444"/>
  </r>
  <r>
    <d v="2026-03-06T00:00:00"/>
    <s v="Line C"/>
    <x v="1"/>
    <x v="2"/>
    <x v="83"/>
    <n v="27"/>
    <n v="52"/>
    <n v="751"/>
    <n v="3.4704370179948589"/>
    <n v="96.529562982005146"/>
  </r>
  <r>
    <d v="2026-03-06T00:00:00"/>
    <s v="Line C"/>
    <x v="2"/>
    <x v="2"/>
    <x v="145"/>
    <n v="32"/>
    <n v="50"/>
    <n v="685"/>
    <n v="4.4630404463040447"/>
    <n v="95.536959553695951"/>
  </r>
  <r>
    <d v="2026-03-07T00:00:00"/>
    <s v="Line A"/>
    <x v="0"/>
    <x v="3"/>
    <x v="312"/>
    <n v="14"/>
    <n v="24"/>
    <n v="968"/>
    <n v="1.4256619144602849"/>
    <n v="98.574338085539708"/>
  </r>
  <r>
    <d v="2026-03-07T00:00:00"/>
    <s v="Line A"/>
    <x v="1"/>
    <x v="0"/>
    <x v="129"/>
    <n v="14"/>
    <n v="9"/>
    <n v="943"/>
    <n v="1.462904911180773"/>
    <n v="98.537095088819228"/>
  </r>
  <r>
    <d v="2026-03-07T00:00:00"/>
    <s v="Line A"/>
    <x v="2"/>
    <x v="2"/>
    <x v="242"/>
    <n v="22"/>
    <n v="25"/>
    <n v="860"/>
    <n v="2.4943310657596371"/>
    <n v="97.505668934240362"/>
  </r>
  <r>
    <d v="2026-03-07T00:00:00"/>
    <s v="Line B"/>
    <x v="0"/>
    <x v="1"/>
    <x v="69"/>
    <n v="25"/>
    <n v="19"/>
    <n v="761"/>
    <n v="3.1806615776081419"/>
    <n v="96.819338422391851"/>
  </r>
  <r>
    <d v="2026-03-07T00:00:00"/>
    <s v="Line B"/>
    <x v="1"/>
    <x v="1"/>
    <x v="70"/>
    <n v="23"/>
    <n v="70"/>
    <n v="690"/>
    <n v="3.225806451612903"/>
    <n v="96.774193548387103"/>
  </r>
  <r>
    <d v="2026-03-07T00:00:00"/>
    <s v="Line B"/>
    <x v="2"/>
    <x v="0"/>
    <x v="2"/>
    <n v="26"/>
    <n v="84"/>
    <n v="720"/>
    <n v="3.4852546916890081"/>
    <n v="96.514745308310992"/>
  </r>
  <r>
    <d v="2026-03-07T00:00:00"/>
    <s v="Line C"/>
    <x v="0"/>
    <x v="3"/>
    <x v="21"/>
    <n v="25"/>
    <n v="50"/>
    <n v="696"/>
    <n v="3.467406380027739"/>
    <n v="96.532593619972261"/>
  </r>
  <r>
    <d v="2026-03-07T00:00:00"/>
    <s v="Line C"/>
    <x v="1"/>
    <x v="1"/>
    <x v="63"/>
    <n v="29"/>
    <n v="16"/>
    <n v="651"/>
    <n v="4.2647058823529411"/>
    <n v="95.735294117647058"/>
  </r>
  <r>
    <d v="2026-03-07T00:00:00"/>
    <s v="Line C"/>
    <x v="2"/>
    <x v="2"/>
    <x v="211"/>
    <n v="29"/>
    <n v="90"/>
    <n v="618"/>
    <n v="4.4822256568778984"/>
    <n v="95.517774343122099"/>
  </r>
  <r>
    <d v="2026-03-08T00:00:00"/>
    <s v="Line A"/>
    <x v="0"/>
    <x v="3"/>
    <x v="162"/>
    <n v="14"/>
    <n v="32"/>
    <n v="950"/>
    <n v="1.4522821576763481"/>
    <n v="98.547717842323664"/>
  </r>
  <r>
    <d v="2026-03-08T00:00:00"/>
    <s v="Line A"/>
    <x v="1"/>
    <x v="2"/>
    <x v="313"/>
    <n v="14"/>
    <n v="33"/>
    <n v="963"/>
    <n v="1.432958034800409"/>
    <n v="98.567041965199593"/>
  </r>
  <r>
    <d v="2026-03-08T00:00:00"/>
    <s v="Line A"/>
    <x v="2"/>
    <x v="3"/>
    <x v="219"/>
    <n v="20"/>
    <n v="66"/>
    <n v="781"/>
    <n v="2.4968789013732828"/>
    <n v="97.503121098626721"/>
  </r>
  <r>
    <d v="2026-03-08T00:00:00"/>
    <s v="Line B"/>
    <x v="0"/>
    <x v="3"/>
    <x v="297"/>
    <n v="21"/>
    <n v="22"/>
    <n v="834"/>
    <n v="2.4561403508771931"/>
    <n v="97.543859649122808"/>
  </r>
  <r>
    <d v="2026-03-08T00:00:00"/>
    <s v="Line B"/>
    <x v="1"/>
    <x v="0"/>
    <x v="285"/>
    <n v="21"/>
    <n v="57"/>
    <n v="827"/>
    <n v="2.476415094339623"/>
    <n v="97.523584905660371"/>
  </r>
  <r>
    <d v="2026-03-08T00:00:00"/>
    <s v="Line B"/>
    <x v="2"/>
    <x v="0"/>
    <x v="278"/>
    <n v="26"/>
    <n v="75"/>
    <n v="719"/>
    <n v="3.4899328859060401"/>
    <n v="96.510067114093957"/>
  </r>
  <r>
    <d v="2026-03-08T00:00:00"/>
    <s v="Line C"/>
    <x v="0"/>
    <x v="3"/>
    <x v="4"/>
    <n v="25"/>
    <n v="43"/>
    <n v="691"/>
    <n v="3.4916201117318439"/>
    <n v="96.508379888268152"/>
  </r>
  <r>
    <d v="2026-03-08T00:00:00"/>
    <s v="Line C"/>
    <x v="1"/>
    <x v="2"/>
    <x v="80"/>
    <n v="28"/>
    <n v="6"/>
    <n v="778"/>
    <n v="3.4739454094292812"/>
    <n v="96.526054590570723"/>
  </r>
  <r>
    <d v="2026-03-08T00:00:00"/>
    <s v="Line C"/>
    <x v="2"/>
    <x v="2"/>
    <x v="304"/>
    <n v="31"/>
    <n v="84"/>
    <n v="675"/>
    <n v="4.3909348441926346"/>
    <n v="95.609065155807357"/>
  </r>
  <r>
    <d v="2026-03-09T00:00:00"/>
    <s v="Line A"/>
    <x v="0"/>
    <x v="1"/>
    <x v="14"/>
    <n v="18"/>
    <n v="66"/>
    <n v="796"/>
    <n v="2.2113022113022112"/>
    <n v="97.788697788697789"/>
  </r>
  <r>
    <d v="2026-03-09T00:00:00"/>
    <s v="Line A"/>
    <x v="1"/>
    <x v="2"/>
    <x v="314"/>
    <n v="14"/>
    <n v="74"/>
    <n v="924"/>
    <n v="1.4925373134328359"/>
    <n v="98.507462686567166"/>
  </r>
  <r>
    <d v="2026-03-09T00:00:00"/>
    <s v="Line A"/>
    <x v="2"/>
    <x v="2"/>
    <x v="179"/>
    <n v="20"/>
    <n v="81"/>
    <n v="817"/>
    <n v="2.389486260454003"/>
    <n v="97.610513739546008"/>
  </r>
  <r>
    <d v="2026-03-09T00:00:00"/>
    <s v="Line B"/>
    <x v="0"/>
    <x v="1"/>
    <x v="76"/>
    <n v="26"/>
    <n v="40"/>
    <n v="777"/>
    <n v="3.2378580323785799"/>
    <n v="96.762141967621417"/>
  </r>
  <r>
    <d v="2026-03-09T00:00:00"/>
    <s v="Line B"/>
    <x v="1"/>
    <x v="3"/>
    <x v="209"/>
    <n v="20"/>
    <n v="42"/>
    <n v="802"/>
    <n v="2.4330900243308999"/>
    <n v="97.566909975669105"/>
  </r>
  <r>
    <d v="2026-03-09T00:00:00"/>
    <s v="Line B"/>
    <x v="2"/>
    <x v="0"/>
    <x v="22"/>
    <n v="28"/>
    <n v="11"/>
    <n v="791"/>
    <n v="3.4188034188034191"/>
    <n v="96.581196581196579"/>
  </r>
  <r>
    <d v="2026-03-09T00:00:00"/>
    <s v="Line C"/>
    <x v="0"/>
    <x v="1"/>
    <x v="145"/>
    <n v="30"/>
    <n v="26"/>
    <n v="687"/>
    <n v="4.1841004184100417"/>
    <n v="95.81589958158996"/>
  </r>
  <r>
    <d v="2026-03-09T00:00:00"/>
    <s v="Line C"/>
    <x v="1"/>
    <x v="0"/>
    <x v="189"/>
    <n v="27"/>
    <n v="20"/>
    <n v="752"/>
    <n v="3.4659820282413349"/>
    <n v="96.534017971758672"/>
  </r>
  <r>
    <d v="2026-03-09T00:00:00"/>
    <s v="Line C"/>
    <x v="2"/>
    <x v="3"/>
    <x v="315"/>
    <n v="30"/>
    <n v="25"/>
    <n v="640"/>
    <n v="4.4776119402985071"/>
    <n v="95.522388059701484"/>
  </r>
  <r>
    <d v="2026-03-10T00:00:00"/>
    <s v="Line A"/>
    <x v="0"/>
    <x v="1"/>
    <x v="238"/>
    <n v="19"/>
    <n v="38"/>
    <n v="832"/>
    <n v="2.232667450058754"/>
    <n v="97.767332549941244"/>
  </r>
  <r>
    <d v="2026-03-10T00:00:00"/>
    <s v="Line A"/>
    <x v="1"/>
    <x v="1"/>
    <x v="80"/>
    <n v="18"/>
    <n v="62"/>
    <n v="788"/>
    <n v="2.2332506203473939"/>
    <n v="97.766749379652609"/>
  </r>
  <r>
    <d v="2026-03-10T00:00:00"/>
    <s v="Line A"/>
    <x v="2"/>
    <x v="3"/>
    <x v="264"/>
    <n v="19"/>
    <n v="45"/>
    <n v="768"/>
    <n v="2.4142312579415499"/>
    <n v="97.585768742058448"/>
  </r>
  <r>
    <d v="2026-03-10T00:00:00"/>
    <s v="Line B"/>
    <x v="0"/>
    <x v="3"/>
    <x v="253"/>
    <n v="22"/>
    <n v="17"/>
    <n v="886"/>
    <n v="2.4229074889867839"/>
    <n v="97.57709251101322"/>
  </r>
  <r>
    <d v="2026-03-10T00:00:00"/>
    <s v="Line B"/>
    <x v="1"/>
    <x v="2"/>
    <x v="28"/>
    <n v="19"/>
    <n v="89"/>
    <n v="778"/>
    <n v="2.3839397741530739"/>
    <n v="97.616060225846923"/>
  </r>
  <r>
    <d v="2026-03-10T00:00:00"/>
    <s v="Line B"/>
    <x v="2"/>
    <x v="3"/>
    <x v="225"/>
    <n v="26"/>
    <n v="36"/>
    <n v="722"/>
    <n v="3.475935828877005"/>
    <n v="96.524064171122987"/>
  </r>
  <r>
    <d v="2026-03-10T00:00:00"/>
    <s v="Line C"/>
    <x v="0"/>
    <x v="0"/>
    <x v="316"/>
    <n v="26"/>
    <n v="61"/>
    <n v="738"/>
    <n v="3.403141361256544"/>
    <n v="96.596858638743456"/>
  </r>
  <r>
    <d v="2026-03-10T00:00:00"/>
    <s v="Line C"/>
    <x v="1"/>
    <x v="3"/>
    <x v="191"/>
    <n v="22"/>
    <n v="75"/>
    <n v="635"/>
    <n v="3.3485540334855401"/>
    <n v="96.651445966514459"/>
  </r>
  <r>
    <d v="2026-03-10T00:00:00"/>
    <s v="Line C"/>
    <x v="2"/>
    <x v="1"/>
    <x v="317"/>
    <n v="36"/>
    <n v="7"/>
    <n v="661"/>
    <n v="5.1649928263988523"/>
    <n v="94.835007173601156"/>
  </r>
  <r>
    <d v="2026-03-11T00:00:00"/>
    <s v="Line A"/>
    <x v="0"/>
    <x v="2"/>
    <x v="295"/>
    <n v="14"/>
    <n v="71"/>
    <n v="942"/>
    <n v="1.464435146443515"/>
    <n v="98.535564853556494"/>
  </r>
  <r>
    <d v="2026-03-11T00:00:00"/>
    <s v="Line A"/>
    <x v="1"/>
    <x v="0"/>
    <x v="318"/>
    <n v="14"/>
    <n v="14"/>
    <n v="972"/>
    <n v="1.419878296146045"/>
    <n v="98.580121703853948"/>
  </r>
  <r>
    <d v="2026-03-11T00:00:00"/>
    <s v="Line A"/>
    <x v="2"/>
    <x v="2"/>
    <x v="104"/>
    <n v="21"/>
    <n v="46"/>
    <n v="857"/>
    <n v="2.391799544419134"/>
    <n v="97.608200455580857"/>
  </r>
  <r>
    <d v="2026-03-11T00:00:00"/>
    <s v="Line B"/>
    <x v="0"/>
    <x v="0"/>
    <x v="222"/>
    <n v="21"/>
    <n v="60"/>
    <n v="826"/>
    <n v="2.4793388429752068"/>
    <n v="97.52066115702479"/>
  </r>
  <r>
    <d v="2026-03-11T00:00:00"/>
    <s v="Line B"/>
    <x v="1"/>
    <x v="2"/>
    <x v="174"/>
    <n v="23"/>
    <n v="27"/>
    <n v="924"/>
    <n v="2.4287222808870119"/>
    <n v="97.571277719112999"/>
  </r>
  <r>
    <d v="2026-03-11T00:00:00"/>
    <s v="Line B"/>
    <x v="2"/>
    <x v="0"/>
    <x v="268"/>
    <n v="29"/>
    <n v="11"/>
    <n v="805"/>
    <n v="3.477218225419664"/>
    <n v="96.522781774580338"/>
  </r>
  <r>
    <d v="2026-03-11T00:00:00"/>
    <s v="Line C"/>
    <x v="0"/>
    <x v="1"/>
    <x v="152"/>
    <n v="29"/>
    <n v="72"/>
    <n v="647"/>
    <n v="4.2899408284023668"/>
    <n v="95.710059171597635"/>
  </r>
  <r>
    <d v="2026-03-11T00:00:00"/>
    <s v="Line C"/>
    <x v="1"/>
    <x v="3"/>
    <x v="278"/>
    <n v="26"/>
    <n v="24"/>
    <n v="719"/>
    <n v="3.4899328859060401"/>
    <n v="96.510067114093957"/>
  </r>
  <r>
    <d v="2026-03-11T00:00:00"/>
    <s v="Line C"/>
    <x v="2"/>
    <x v="1"/>
    <x v="319"/>
    <n v="29"/>
    <n v="86"/>
    <n v="524"/>
    <n v="5.244122965641953"/>
    <n v="94.755877034358051"/>
  </r>
  <r>
    <d v="2026-03-12T00:00:00"/>
    <s v="Line A"/>
    <x v="0"/>
    <x v="1"/>
    <x v="46"/>
    <n v="19"/>
    <n v="62"/>
    <n v="811"/>
    <n v="2.2891566265060241"/>
    <n v="97.710843373493972"/>
  </r>
  <r>
    <d v="2026-03-12T00:00:00"/>
    <s v="Line A"/>
    <x v="1"/>
    <x v="0"/>
    <x v="272"/>
    <n v="13"/>
    <n v="40"/>
    <n v="900"/>
    <n v="1.4238773274917851"/>
    <n v="98.57612267250822"/>
  </r>
  <r>
    <d v="2026-03-12T00:00:00"/>
    <s v="Line A"/>
    <x v="2"/>
    <x v="3"/>
    <x v="160"/>
    <n v="20"/>
    <n v="62"/>
    <n v="782"/>
    <n v="2.4937655860349128"/>
    <n v="97.506234413965089"/>
  </r>
  <r>
    <d v="2026-03-12T00:00:00"/>
    <s v="Line B"/>
    <x v="0"/>
    <x v="0"/>
    <x v="120"/>
    <n v="22"/>
    <n v="17"/>
    <n v="889"/>
    <n v="2.4149286498353462"/>
    <n v="97.585071350164654"/>
  </r>
  <r>
    <d v="2026-03-12T00:00:00"/>
    <s v="Line B"/>
    <x v="1"/>
    <x v="1"/>
    <x v="15"/>
    <n v="24"/>
    <n v="38"/>
    <n v="720"/>
    <n v="3.225806451612903"/>
    <n v="96.774193548387103"/>
  </r>
  <r>
    <d v="2026-03-12T00:00:00"/>
    <s v="Line B"/>
    <x v="2"/>
    <x v="0"/>
    <x v="209"/>
    <n v="28"/>
    <n v="34"/>
    <n v="794"/>
    <n v="3.4063260340632602"/>
    <n v="96.593673965936745"/>
  </r>
  <r>
    <d v="2026-03-12T00:00:00"/>
    <s v="Line C"/>
    <x v="0"/>
    <x v="0"/>
    <x v="320"/>
    <n v="26"/>
    <n v="38"/>
    <n v="737"/>
    <n v="3.4076015727391882"/>
    <n v="96.592398427260818"/>
  </r>
  <r>
    <d v="2026-03-12T00:00:00"/>
    <s v="Line C"/>
    <x v="1"/>
    <x v="1"/>
    <x v="321"/>
    <n v="28"/>
    <n v="50"/>
    <n v="626"/>
    <n v="4.281345565749235"/>
    <n v="95.718654434250766"/>
  </r>
  <r>
    <d v="2026-03-12T00:00:00"/>
    <s v="Line C"/>
    <x v="2"/>
    <x v="2"/>
    <x v="89"/>
    <n v="33"/>
    <n v="47"/>
    <n v="716"/>
    <n v="4.4058744993324437"/>
    <n v="95.594125500667559"/>
  </r>
  <r>
    <d v="2026-03-13T00:00:00"/>
    <s v="Line A"/>
    <x v="0"/>
    <x v="3"/>
    <x v="322"/>
    <n v="13"/>
    <n v="50"/>
    <n v="874"/>
    <n v="1.4656144306651639"/>
    <n v="98.53438556933483"/>
  </r>
  <r>
    <d v="2026-03-13T00:00:00"/>
    <s v="Line A"/>
    <x v="1"/>
    <x v="2"/>
    <x v="323"/>
    <n v="12"/>
    <n v="88"/>
    <n v="854"/>
    <n v="1.38568129330254"/>
    <n v="98.61431870669746"/>
  </r>
  <r>
    <d v="2026-03-13T00:00:00"/>
    <s v="Line A"/>
    <x v="2"/>
    <x v="2"/>
    <x v="318"/>
    <n v="24"/>
    <n v="17"/>
    <n v="962"/>
    <n v="2.4340770791075048"/>
    <n v="97.56592292089249"/>
  </r>
  <r>
    <d v="2026-03-13T00:00:00"/>
    <s v="Line B"/>
    <x v="0"/>
    <x v="3"/>
    <x v="58"/>
    <n v="22"/>
    <n v="10"/>
    <n v="868"/>
    <n v="2.4719101123595499"/>
    <n v="97.528089887640448"/>
  </r>
  <r>
    <d v="2026-03-13T00:00:00"/>
    <s v="Line B"/>
    <x v="1"/>
    <x v="0"/>
    <x v="193"/>
    <n v="19"/>
    <n v="62"/>
    <n v="770"/>
    <n v="2.4081115335868191"/>
    <n v="97.591888466413181"/>
  </r>
  <r>
    <d v="2026-03-13T00:00:00"/>
    <s v="Line B"/>
    <x v="2"/>
    <x v="0"/>
    <x v="324"/>
    <n v="28"/>
    <n v="0"/>
    <n v="788"/>
    <n v="3.4313725490196081"/>
    <n v="96.568627450980387"/>
  </r>
  <r>
    <d v="2026-03-13T00:00:00"/>
    <s v="Line C"/>
    <x v="0"/>
    <x v="3"/>
    <x v="21"/>
    <n v="25"/>
    <n v="45"/>
    <n v="696"/>
    <n v="3.467406380027739"/>
    <n v="96.532593619972261"/>
  </r>
  <r>
    <d v="2026-03-13T00:00:00"/>
    <s v="Line C"/>
    <x v="1"/>
    <x v="3"/>
    <x v="210"/>
    <n v="24"/>
    <n v="86"/>
    <n v="665"/>
    <n v="3.483309143686502"/>
    <n v="96.516690856313502"/>
  </r>
  <r>
    <d v="2026-03-13T00:00:00"/>
    <s v="Line C"/>
    <x v="2"/>
    <x v="2"/>
    <x v="294"/>
    <n v="35"/>
    <n v="26"/>
    <n v="758"/>
    <n v="4.4136191677175276"/>
    <n v="95.586380832282472"/>
  </r>
  <r>
    <d v="2026-03-14T00:00:00"/>
    <s v="Line A"/>
    <x v="0"/>
    <x v="2"/>
    <x v="325"/>
    <n v="15"/>
    <n v="23"/>
    <n v="1000"/>
    <n v="1.4778325123152709"/>
    <n v="98.522167487684726"/>
  </r>
  <r>
    <d v="2026-03-14T00:00:00"/>
    <s v="Line A"/>
    <x v="1"/>
    <x v="2"/>
    <x v="326"/>
    <n v="14"/>
    <n v="26"/>
    <n v="979"/>
    <n v="1.409869083585096"/>
    <n v="98.590130916414907"/>
  </r>
  <r>
    <d v="2026-03-14T00:00:00"/>
    <s v="Line A"/>
    <x v="2"/>
    <x v="2"/>
    <x v="84"/>
    <n v="24"/>
    <n v="9"/>
    <n v="964"/>
    <n v="2.42914979757085"/>
    <n v="97.570850202429142"/>
  </r>
  <r>
    <d v="2026-03-14T00:00:00"/>
    <s v="Line B"/>
    <x v="0"/>
    <x v="0"/>
    <x v="199"/>
    <n v="21"/>
    <n v="58"/>
    <n v="856"/>
    <n v="2.3945267958950969"/>
    <n v="97.605473204104896"/>
  </r>
  <r>
    <d v="2026-03-14T00:00:00"/>
    <s v="Line B"/>
    <x v="1"/>
    <x v="3"/>
    <x v="77"/>
    <n v="19"/>
    <n v="60"/>
    <n v="780"/>
    <n v="2.3779724655819781"/>
    <n v="97.622027534418024"/>
  </r>
  <r>
    <d v="2026-03-14T00:00:00"/>
    <s v="Line B"/>
    <x v="2"/>
    <x v="1"/>
    <x v="207"/>
    <n v="29"/>
    <n v="54"/>
    <n v="658"/>
    <n v="4.2212518195050954"/>
    <n v="95.778748180494915"/>
  </r>
  <r>
    <d v="2026-03-14T00:00:00"/>
    <s v="Line C"/>
    <x v="0"/>
    <x v="2"/>
    <x v="205"/>
    <n v="26"/>
    <n v="74"/>
    <n v="736"/>
    <n v="3.4120734908136479"/>
    <n v="96.587926509186346"/>
  </r>
  <r>
    <d v="2026-03-14T00:00:00"/>
    <s v="Line C"/>
    <x v="1"/>
    <x v="2"/>
    <x v="181"/>
    <n v="27"/>
    <n v="52"/>
    <n v="757"/>
    <n v="3.443877551020408"/>
    <n v="96.556122448979593"/>
  </r>
  <r>
    <d v="2026-03-14T00:00:00"/>
    <s v="Line C"/>
    <x v="2"/>
    <x v="2"/>
    <x v="327"/>
    <n v="30"/>
    <n v="75"/>
    <n v="643"/>
    <n v="4.4576523031203568"/>
    <n v="95.542347696879645"/>
  </r>
  <r>
    <d v="2026-03-15T00:00:00"/>
    <s v="Line A"/>
    <x v="0"/>
    <x v="2"/>
    <x v="328"/>
    <n v="16"/>
    <n v="3"/>
    <n v="1108"/>
    <n v="1.4234875444839861"/>
    <n v="98.576512455516024"/>
  </r>
  <r>
    <d v="2026-03-15T00:00:00"/>
    <s v="Line A"/>
    <x v="2"/>
    <x v="3"/>
    <x v="131"/>
    <n v="22"/>
    <n v="8"/>
    <n v="864"/>
    <n v="2.483069977426636"/>
    <n v="97.516930022573362"/>
  </r>
  <r>
    <d v="2026-03-15T00:00:00"/>
    <s v="Line B"/>
    <x v="0"/>
    <x v="0"/>
    <x v="203"/>
    <n v="21"/>
    <n v="37"/>
    <n v="828"/>
    <n v="2.473498233215548"/>
    <n v="97.526501766784463"/>
  </r>
  <r>
    <d v="2026-03-15T00:00:00"/>
    <s v="Line B"/>
    <x v="1"/>
    <x v="0"/>
    <x v="116"/>
    <n v="22"/>
    <n v="4"/>
    <n v="880"/>
    <n v="2.4390243902439019"/>
    <n v="97.560975609756099"/>
  </r>
  <r>
    <d v="2026-03-15T00:00:00"/>
    <s v="Line C"/>
    <x v="0"/>
    <x v="1"/>
    <x v="329"/>
    <n v="27"/>
    <n v="89"/>
    <n v="617"/>
    <n v="4.1925465838509322"/>
    <n v="95.807453416149073"/>
  </r>
  <r>
    <d v="2026-03-15T00:00:00"/>
    <s v="Line C"/>
    <x v="1"/>
    <x v="2"/>
    <x v="232"/>
    <n v="27"/>
    <n v="51"/>
    <n v="745"/>
    <n v="3.49740932642487"/>
    <n v="96.502590673575128"/>
  </r>
  <r>
    <d v="2026-03-15T00:00:00"/>
    <s v="Line C"/>
    <x v="2"/>
    <x v="0"/>
    <x v="33"/>
    <n v="32"/>
    <n v="37"/>
    <n v="691"/>
    <n v="4.4260027662517292"/>
    <n v="95.573997233748273"/>
  </r>
  <r>
    <d v="2026-03-16T00:00:00"/>
    <s v="Line A"/>
    <x v="0"/>
    <x v="1"/>
    <x v="206"/>
    <n v="18"/>
    <n v="85"/>
    <n v="792"/>
    <n v="2.2222222222222219"/>
    <n v="97.777777777777771"/>
  </r>
  <r>
    <d v="2026-03-16T00:00:00"/>
    <s v="Line A"/>
    <x v="2"/>
    <x v="1"/>
    <x v="47"/>
    <n v="27"/>
    <n v="17"/>
    <n v="799"/>
    <n v="3.2687651331719132"/>
    <n v="96.731234866828089"/>
  </r>
  <r>
    <d v="2026-03-16T00:00:00"/>
    <s v="Line B"/>
    <x v="0"/>
    <x v="2"/>
    <x v="330"/>
    <n v="25"/>
    <n v="24"/>
    <n v="979"/>
    <n v="2.4900398406374502"/>
    <n v="97.509960159362549"/>
  </r>
  <r>
    <d v="2026-03-16T00:00:00"/>
    <s v="Line B"/>
    <x v="1"/>
    <x v="0"/>
    <x v="254"/>
    <n v="18"/>
    <n v="78"/>
    <n v="741"/>
    <n v="2.3715415019762842"/>
    <n v="97.628458498023718"/>
  </r>
  <r>
    <d v="2026-03-16T00:00:00"/>
    <s v="Line B"/>
    <x v="2"/>
    <x v="3"/>
    <x v="331"/>
    <n v="25"/>
    <n v="28"/>
    <n v="697"/>
    <n v="3.4626038781163442"/>
    <n v="96.53739612188366"/>
  </r>
  <r>
    <d v="2026-03-16T00:00:00"/>
    <s v="Line C"/>
    <x v="0"/>
    <x v="1"/>
    <x v="101"/>
    <n v="30"/>
    <n v="18"/>
    <n v="675"/>
    <n v="4.2553191489361701"/>
    <n v="95.744680851063833"/>
  </r>
  <r>
    <d v="2026-03-16T00:00:00"/>
    <s v="Line C"/>
    <x v="1"/>
    <x v="2"/>
    <x v="206"/>
    <n v="28"/>
    <n v="4"/>
    <n v="782"/>
    <n v="3.4567901234567899"/>
    <n v="96.543209876543216"/>
  </r>
  <r>
    <d v="2026-03-16T00:00:00"/>
    <s v="Line C"/>
    <x v="2"/>
    <x v="2"/>
    <x v="332"/>
    <n v="32"/>
    <n v="53"/>
    <n v="700"/>
    <n v="4.3715846994535523"/>
    <n v="95.628415300546436"/>
  </r>
  <r>
    <d v="2026-03-17T00:00:00"/>
    <s v="Line A"/>
    <x v="0"/>
    <x v="2"/>
    <x v="333"/>
    <n v="15"/>
    <n v="27"/>
    <n v="1014"/>
    <n v="1.457725947521866"/>
    <n v="98.542274052478135"/>
  </r>
  <r>
    <d v="2026-03-17T00:00:00"/>
    <s v="Line A"/>
    <x v="1"/>
    <x v="0"/>
    <x v="334"/>
    <n v="14"/>
    <n v="20"/>
    <n v="966"/>
    <n v="1.428571428571429"/>
    <n v="98.571428571428584"/>
  </r>
  <r>
    <d v="2026-03-17T00:00:00"/>
    <s v="Line A"/>
    <x v="2"/>
    <x v="0"/>
    <x v="86"/>
    <n v="19"/>
    <n v="84"/>
    <n v="771"/>
    <n v="2.40506329113924"/>
    <n v="97.594936708860757"/>
  </r>
  <r>
    <d v="2026-03-17T00:00:00"/>
    <s v="Line B"/>
    <x v="0"/>
    <x v="1"/>
    <x v="320"/>
    <n v="25"/>
    <n v="47"/>
    <n v="738"/>
    <n v="3.2765399737876799"/>
    <n v="96.723460026212322"/>
  </r>
  <r>
    <d v="2026-03-17T00:00:00"/>
    <s v="Line B"/>
    <x v="1"/>
    <x v="1"/>
    <x v="207"/>
    <n v="22"/>
    <n v="84"/>
    <n v="665"/>
    <n v="3.2023289665211059"/>
    <n v="96.797671033478892"/>
  </r>
  <r>
    <d v="2026-03-17T00:00:00"/>
    <s v="Line B"/>
    <x v="2"/>
    <x v="2"/>
    <x v="189"/>
    <n v="27"/>
    <n v="73"/>
    <n v="752"/>
    <n v="3.4659820282413349"/>
    <n v="96.534017971758672"/>
  </r>
  <r>
    <d v="2026-03-17T00:00:00"/>
    <s v="Line C"/>
    <x v="0"/>
    <x v="3"/>
    <x v="137"/>
    <n v="24"/>
    <n v="70"/>
    <n v="688"/>
    <n v="3.3707865168539319"/>
    <n v="96.629213483146074"/>
  </r>
  <r>
    <d v="2026-03-17T00:00:00"/>
    <s v="Line C"/>
    <x v="1"/>
    <x v="1"/>
    <x v="50"/>
    <n v="26"/>
    <n v="76"/>
    <n v="586"/>
    <n v="4.2483660130718954"/>
    <n v="95.751633986928113"/>
  </r>
  <r>
    <d v="2026-03-17T00:00:00"/>
    <s v="Line C"/>
    <x v="2"/>
    <x v="0"/>
    <x v="137"/>
    <n v="32"/>
    <n v="11"/>
    <n v="680"/>
    <n v="4.4943820224719104"/>
    <n v="95.50561797752809"/>
  </r>
  <r>
    <d v="2026-03-18T00:00:00"/>
    <s v="Line A"/>
    <x v="0"/>
    <x v="2"/>
    <x v="335"/>
    <n v="16"/>
    <n v="21"/>
    <n v="1057"/>
    <n v="1.491146318732526"/>
    <n v="98.508853681267468"/>
  </r>
  <r>
    <d v="2026-03-18T00:00:00"/>
    <s v="Line A"/>
    <x v="1"/>
    <x v="2"/>
    <x v="336"/>
    <n v="15"/>
    <n v="37"/>
    <n v="1004"/>
    <n v="1.4720314033366051"/>
    <n v="98.527968596663399"/>
  </r>
  <r>
    <d v="2026-03-18T00:00:00"/>
    <s v="Line A"/>
    <x v="2"/>
    <x v="3"/>
    <x v="125"/>
    <n v="18"/>
    <n v="87"/>
    <n v="719"/>
    <n v="2.4423337856173681"/>
    <n v="97.557666214382635"/>
  </r>
  <r>
    <d v="2026-03-18T00:00:00"/>
    <s v="Line B"/>
    <x v="0"/>
    <x v="0"/>
    <x v="60"/>
    <n v="21"/>
    <n v="43"/>
    <n v="848"/>
    <n v="2.416570771001151"/>
    <n v="97.583429228998853"/>
  </r>
  <r>
    <d v="2026-03-18T00:00:00"/>
    <s v="Line B"/>
    <x v="1"/>
    <x v="3"/>
    <x v="206"/>
    <n v="20"/>
    <n v="28"/>
    <n v="790"/>
    <n v="2.4691358024691361"/>
    <n v="97.53086419753086"/>
  </r>
  <r>
    <d v="2026-03-18T00:00:00"/>
    <s v="Line B"/>
    <x v="2"/>
    <x v="2"/>
    <x v="11"/>
    <n v="28"/>
    <n v="52"/>
    <n v="790"/>
    <n v="3.4229828850855739"/>
    <n v="96.577017114914426"/>
  </r>
  <r>
    <d v="2026-03-18T00:00:00"/>
    <s v="Line C"/>
    <x v="0"/>
    <x v="3"/>
    <x v="59"/>
    <n v="25"/>
    <n v="73"/>
    <n v="701"/>
    <n v="3.443526170798898"/>
    <n v="96.55647382920111"/>
  </r>
  <r>
    <d v="2026-03-18T00:00:00"/>
    <s v="Line C"/>
    <x v="1"/>
    <x v="0"/>
    <x v="110"/>
    <n v="27"/>
    <n v="2"/>
    <n v="768"/>
    <n v="3.3962264150943402"/>
    <n v="96.603773584905667"/>
  </r>
  <r>
    <d v="2026-03-18T00:00:00"/>
    <s v="Line A"/>
    <x v="2"/>
    <x v="0"/>
    <x v="329"/>
    <n v="28"/>
    <n v="71"/>
    <n v="616"/>
    <n v="4.3478260869565224"/>
    <n v="95.652173913043484"/>
  </r>
  <r>
    <d v="2026-03-19T00:00:00"/>
    <s v="Line A"/>
    <x v="0"/>
    <x v="0"/>
    <x v="337"/>
    <n v="14"/>
    <n v="13"/>
    <n v="982"/>
    <n v="1.4056224899598391"/>
    <n v="98.594377510040161"/>
  </r>
  <r>
    <d v="2026-03-19T00:00:00"/>
    <s v="Line A"/>
    <x v="1"/>
    <x v="3"/>
    <x v="123"/>
    <n v="12"/>
    <n v="71"/>
    <n v="823"/>
    <n v="1.437125748502994"/>
    <n v="98.562874251497007"/>
  </r>
  <r>
    <d v="2026-03-19T00:00:00"/>
    <s v="Line A"/>
    <x v="2"/>
    <x v="0"/>
    <x v="116"/>
    <n v="22"/>
    <n v="8"/>
    <n v="880"/>
    <n v="2.4390243902439019"/>
    <n v="97.560975609756099"/>
  </r>
  <r>
    <d v="2026-03-19T00:00:00"/>
    <s v="Line B"/>
    <x v="0"/>
    <x v="2"/>
    <x v="19"/>
    <n v="21"/>
    <n v="57"/>
    <n v="842"/>
    <n v="2.4333719582850519"/>
    <n v="97.566628041714949"/>
  </r>
  <r>
    <d v="2026-03-19T00:00:00"/>
    <s v="Line B"/>
    <x v="1"/>
    <x v="0"/>
    <x v="283"/>
    <n v="22"/>
    <n v="37"/>
    <n v="862"/>
    <n v="2.4886877828054299"/>
    <n v="97.511312217194572"/>
  </r>
  <r>
    <d v="2026-03-19T00:00:00"/>
    <s v="Line B"/>
    <x v="2"/>
    <x v="3"/>
    <x v="338"/>
    <n v="24"/>
    <n v="81"/>
    <n v="678"/>
    <n v="3.4188034188034191"/>
    <n v="96.581196581196579"/>
  </r>
  <r>
    <d v="2026-03-19T00:00:00"/>
    <s v="Line C"/>
    <x v="0"/>
    <x v="1"/>
    <x v="42"/>
    <n v="29"/>
    <n v="59"/>
    <n v="650"/>
    <n v="4.2709867452135493"/>
    <n v="95.729013254786452"/>
  </r>
  <r>
    <d v="2026-03-19T00:00:00"/>
    <s v="Line C"/>
    <x v="1"/>
    <x v="3"/>
    <x v="338"/>
    <n v="24"/>
    <n v="32"/>
    <n v="678"/>
    <n v="3.4188034188034191"/>
    <n v="96.581196581196579"/>
  </r>
  <r>
    <d v="2026-03-19T00:00:00"/>
    <s v="Line C"/>
    <x v="2"/>
    <x v="0"/>
    <x v="4"/>
    <n v="32"/>
    <n v="43"/>
    <n v="684"/>
    <n v="4.4692737430167604"/>
    <n v="95.530726256983243"/>
  </r>
  <r>
    <d v="2026-03-20T00:00:00"/>
    <s v="Line A"/>
    <x v="0"/>
    <x v="1"/>
    <x v="58"/>
    <n v="20"/>
    <n v="9"/>
    <n v="870"/>
    <n v="2.2471910112359552"/>
    <n v="97.752808988764045"/>
  </r>
  <r>
    <d v="2026-03-20T00:00:00"/>
    <s v="Line A"/>
    <x v="1"/>
    <x v="1"/>
    <x v="181"/>
    <n v="18"/>
    <n v="69"/>
    <n v="766"/>
    <n v="2.295918367346939"/>
    <n v="97.704081632653057"/>
  </r>
  <r>
    <d v="2026-03-20T00:00:00"/>
    <s v="Line A"/>
    <x v="2"/>
    <x v="2"/>
    <x v="260"/>
    <n v="21"/>
    <n v="49"/>
    <n v="850"/>
    <n v="2.411021814006888"/>
    <n v="97.588978185993113"/>
  </r>
  <r>
    <d v="2026-03-20T00:00:00"/>
    <s v="Line B"/>
    <x v="0"/>
    <x v="3"/>
    <x v="293"/>
    <n v="21"/>
    <n v="25"/>
    <n v="825"/>
    <n v="2.4822695035461"/>
    <n v="97.517730496453908"/>
  </r>
  <r>
    <d v="2026-03-20T00:00:00"/>
    <s v="Line B"/>
    <x v="1"/>
    <x v="3"/>
    <x v="226"/>
    <n v="17"/>
    <n v="85"/>
    <n v="701"/>
    <n v="2.3676880222841219"/>
    <n v="97.632311977715887"/>
  </r>
  <r>
    <d v="2026-03-20T00:00:00"/>
    <s v="Line B"/>
    <x v="2"/>
    <x v="1"/>
    <x v="95"/>
    <n v="30"/>
    <n v="15"/>
    <n v="690"/>
    <n v="4.1666666666666661"/>
    <n v="95.833333333333343"/>
  </r>
  <r>
    <d v="2026-03-20T00:00:00"/>
    <s v="Line C"/>
    <x v="0"/>
    <x v="2"/>
    <x v="71"/>
    <n v="26"/>
    <n v="84"/>
    <n v="726"/>
    <n v="3.457446808510638"/>
    <n v="96.542553191489361"/>
  </r>
  <r>
    <d v="2026-03-20T00:00:00"/>
    <s v="Line C"/>
    <x v="1"/>
    <x v="1"/>
    <x v="94"/>
    <n v="31"/>
    <n v="17"/>
    <n v="697"/>
    <n v="4.2582417582417582"/>
    <n v="95.741758241758248"/>
  </r>
  <r>
    <d v="2026-03-20T00:00:00"/>
    <s v="Line C"/>
    <x v="2"/>
    <x v="0"/>
    <x v="339"/>
    <n v="33"/>
    <n v="18"/>
    <n v="708"/>
    <n v="4.4534412955465594"/>
    <n v="95.546558704453446"/>
  </r>
  <r>
    <d v="2026-03-21T00:00:00"/>
    <s v="Line A"/>
    <x v="0"/>
    <x v="2"/>
    <x v="65"/>
    <n v="14"/>
    <n v="71"/>
    <n v="984"/>
    <n v="1.402805611222445"/>
    <n v="98.597194388777552"/>
  </r>
  <r>
    <d v="2026-03-21T00:00:00"/>
    <s v="Line A"/>
    <x v="1"/>
    <x v="2"/>
    <x v="295"/>
    <n v="14"/>
    <n v="22"/>
    <n v="942"/>
    <n v="1.464435146443515"/>
    <n v="98.535564853556494"/>
  </r>
  <r>
    <d v="2026-03-21T00:00:00"/>
    <s v="Line A"/>
    <x v="2"/>
    <x v="1"/>
    <x v="258"/>
    <n v="27"/>
    <n v="11"/>
    <n v="797"/>
    <n v="3.2766990291262141"/>
    <n v="96.72330097087378"/>
  </r>
  <r>
    <d v="2026-03-21T00:00:00"/>
    <s v="Line B"/>
    <x v="0"/>
    <x v="0"/>
    <x v="272"/>
    <n v="22"/>
    <n v="41"/>
    <n v="891"/>
    <n v="2.4096385542168681"/>
    <n v="97.590361445783131"/>
  </r>
  <r>
    <d v="2026-03-21T00:00:00"/>
    <s v="Line B"/>
    <x v="1"/>
    <x v="0"/>
    <x v="125"/>
    <n v="18"/>
    <n v="85"/>
    <n v="719"/>
    <n v="2.4423337856173681"/>
    <n v="97.557666214382635"/>
  </r>
  <r>
    <d v="2026-03-21T00:00:00"/>
    <s v="Line B"/>
    <x v="2"/>
    <x v="1"/>
    <x v="286"/>
    <n v="27"/>
    <n v="87"/>
    <n v="623"/>
    <n v="4.1538461538461542"/>
    <n v="95.846153846153854"/>
  </r>
  <r>
    <d v="2026-03-21T00:00:00"/>
    <s v="Line C"/>
    <x v="0"/>
    <x v="2"/>
    <x v="168"/>
    <n v="31"/>
    <n v="13"/>
    <n v="867"/>
    <n v="3.4521158129175951"/>
    <n v="96.547884187082403"/>
  </r>
  <r>
    <d v="2026-03-21T00:00:00"/>
    <s v="Line C"/>
    <x v="1"/>
    <x v="3"/>
    <x v="232"/>
    <n v="27"/>
    <n v="20"/>
    <n v="745"/>
    <n v="3.49740932642487"/>
    <n v="96.502590673575128"/>
  </r>
  <r>
    <d v="2026-03-21T00:00:00"/>
    <s v="Line C"/>
    <x v="2"/>
    <x v="0"/>
    <x v="145"/>
    <n v="32"/>
    <n v="10"/>
    <n v="685"/>
    <n v="4.4630404463040447"/>
    <n v="95.536959553695951"/>
  </r>
  <r>
    <d v="2026-03-22T00:00:00"/>
    <s v="Line A"/>
    <x v="0"/>
    <x v="1"/>
    <x v="340"/>
    <n v="20"/>
    <n v="40"/>
    <n v="872"/>
    <n v="2.2421524663677128"/>
    <n v="97.757847533632287"/>
  </r>
  <r>
    <d v="2026-03-22T00:00:00"/>
    <s v="Line A"/>
    <x v="1"/>
    <x v="3"/>
    <x v="78"/>
    <n v="12"/>
    <n v="77"/>
    <n v="803"/>
    <n v="1.47239263803681"/>
    <n v="98.527607361963192"/>
  </r>
  <r>
    <d v="2026-03-22T00:00:00"/>
    <s v="Line A"/>
    <x v="2"/>
    <x v="2"/>
    <x v="62"/>
    <n v="21"/>
    <n v="81"/>
    <n v="839"/>
    <n v="2.441860465116279"/>
    <n v="97.558139534883722"/>
  </r>
  <r>
    <d v="2026-03-22T00:00:00"/>
    <s v="Line B"/>
    <x v="0"/>
    <x v="3"/>
    <x v="123"/>
    <n v="20"/>
    <n v="65"/>
    <n v="815"/>
    <n v="2.395209580838324"/>
    <n v="97.604790419161674"/>
  </r>
  <r>
    <d v="2026-03-22T00:00:00"/>
    <s v="Line B"/>
    <x v="1"/>
    <x v="1"/>
    <x v="207"/>
    <n v="22"/>
    <n v="73"/>
    <n v="665"/>
    <n v="3.2023289665211059"/>
    <n v="96.797671033478892"/>
  </r>
  <r>
    <d v="2026-03-22T00:00:00"/>
    <s v="Line B"/>
    <x v="2"/>
    <x v="0"/>
    <x v="291"/>
    <n v="26"/>
    <n v="46"/>
    <n v="742"/>
    <n v="3.385416666666667"/>
    <n v="96.614583333333343"/>
  </r>
  <r>
    <d v="2026-03-22T00:00:00"/>
    <s v="Line C"/>
    <x v="0"/>
    <x v="3"/>
    <x v="301"/>
    <n v="24"/>
    <n v="80"/>
    <n v="662"/>
    <n v="3.4985422740524781"/>
    <n v="96.501457725947532"/>
  </r>
  <r>
    <d v="2026-03-22T00:00:00"/>
    <s v="Line C"/>
    <x v="1"/>
    <x v="3"/>
    <x v="341"/>
    <n v="22"/>
    <n v="81"/>
    <n v="627"/>
    <n v="3.3898305084745761"/>
    <n v="96.610169491525426"/>
  </r>
  <r>
    <d v="2026-03-22T00:00:00"/>
    <s v="Line C"/>
    <x v="2"/>
    <x v="0"/>
    <x v="240"/>
    <n v="30"/>
    <n v="41"/>
    <n v="658"/>
    <n v="4.3604651162790704"/>
    <n v="95.639534883720927"/>
  </r>
  <r>
    <d v="2026-03-23T00:00:00"/>
    <s v="Line A"/>
    <x v="0"/>
    <x v="2"/>
    <x v="342"/>
    <n v="15"/>
    <n v="10"/>
    <n v="1035"/>
    <n v="1.428571428571429"/>
    <n v="98.571428571428584"/>
  </r>
  <r>
    <d v="2026-03-23T00:00:00"/>
    <s v="Line A"/>
    <x v="1"/>
    <x v="1"/>
    <x v="118"/>
    <n v="19"/>
    <n v="43"/>
    <n v="809"/>
    <n v="2.2946859903381638"/>
    <n v="97.705314009661834"/>
  </r>
  <r>
    <d v="2026-03-23T00:00:00"/>
    <s v="Line A"/>
    <x v="2"/>
    <x v="1"/>
    <x v="251"/>
    <n v="27"/>
    <n v="15"/>
    <n v="809"/>
    <n v="3.2296650717703348"/>
    <n v="96.770334928229659"/>
  </r>
  <r>
    <d v="2026-03-23T00:00:00"/>
    <s v="Line B"/>
    <x v="0"/>
    <x v="2"/>
    <x v="343"/>
    <n v="20"/>
    <n v="82"/>
    <n v="812"/>
    <n v="2.4038461538461542"/>
    <n v="97.59615384615384"/>
  </r>
  <r>
    <d v="2026-03-23T00:00:00"/>
    <s v="Line B"/>
    <x v="1"/>
    <x v="1"/>
    <x v="76"/>
    <n v="26"/>
    <n v="18"/>
    <n v="777"/>
    <n v="3.2378580323785799"/>
    <n v="96.762141967621417"/>
  </r>
  <r>
    <d v="2026-03-23T00:00:00"/>
    <s v="Line B"/>
    <x v="2"/>
    <x v="3"/>
    <x v="320"/>
    <n v="26"/>
    <n v="11"/>
    <n v="737"/>
    <n v="3.4076015727391882"/>
    <n v="96.592398427260818"/>
  </r>
  <r>
    <d v="2026-03-23T00:00:00"/>
    <s v="Line C"/>
    <x v="0"/>
    <x v="1"/>
    <x v="54"/>
    <n v="31"/>
    <n v="41"/>
    <n v="705"/>
    <n v="4.2119565217391308"/>
    <n v="95.78804347826086"/>
  </r>
  <r>
    <d v="2026-03-23T00:00:00"/>
    <s v="Line C"/>
    <x v="1"/>
    <x v="1"/>
    <x v="290"/>
    <n v="30"/>
    <n v="11"/>
    <n v="673"/>
    <n v="4.2674253200568986"/>
    <n v="95.732574679943099"/>
  </r>
  <r>
    <d v="2026-03-23T00:00:00"/>
    <s v="Line C"/>
    <x v="2"/>
    <x v="0"/>
    <x v="344"/>
    <n v="30"/>
    <n v="64"/>
    <n v="647"/>
    <n v="4.431314623338257"/>
    <n v="95.568685376661747"/>
  </r>
  <r>
    <d v="2026-03-24T00:00:00"/>
    <s v="Line A"/>
    <x v="0"/>
    <x v="2"/>
    <x v="345"/>
    <n v="15"/>
    <n v="24"/>
    <n v="1021"/>
    <n v="1.4478764478764481"/>
    <n v="98.552123552123547"/>
  </r>
  <r>
    <d v="2026-03-24T00:00:00"/>
    <s v="Line A"/>
    <x v="1"/>
    <x v="2"/>
    <x v="156"/>
    <n v="14"/>
    <n v="63"/>
    <n v="958"/>
    <n v="1.440329218106996"/>
    <n v="98.559670781893004"/>
  </r>
  <r>
    <d v="2026-03-24T00:00:00"/>
    <s v="Line A"/>
    <x v="2"/>
    <x v="3"/>
    <x v="163"/>
    <n v="18"/>
    <n v="71"/>
    <n v="733"/>
    <n v="2.3968042609853528"/>
    <n v="97.603195739014652"/>
  </r>
  <r>
    <d v="2026-03-24T00:00:00"/>
    <s v="Line B"/>
    <x v="0"/>
    <x v="3"/>
    <x v="299"/>
    <n v="19"/>
    <n v="76"/>
    <n v="757"/>
    <n v="2.4484536082474229"/>
    <n v="97.551546391752581"/>
  </r>
  <r>
    <d v="2026-03-24T00:00:00"/>
    <s v="Line B"/>
    <x v="1"/>
    <x v="0"/>
    <x v="251"/>
    <n v="20"/>
    <n v="26"/>
    <n v="816"/>
    <n v="2.392344497607656"/>
    <n v="97.607655502392348"/>
  </r>
  <r>
    <d v="2026-03-24T00:00:00"/>
    <s v="Line B"/>
    <x v="2"/>
    <x v="3"/>
    <x v="228"/>
    <n v="24"/>
    <n v="45"/>
    <n v="677"/>
    <n v="3.4236804564907271"/>
    <n v="96.576319543509271"/>
  </r>
  <r>
    <d v="2026-03-24T00:00:00"/>
    <s v="Line C"/>
    <x v="0"/>
    <x v="1"/>
    <x v="346"/>
    <n v="29"/>
    <n v="47"/>
    <n v="649"/>
    <n v="4.277286135693215"/>
    <n v="95.722713864306783"/>
  </r>
  <r>
    <d v="2026-03-24T00:00:00"/>
    <s v="Line C"/>
    <x v="1"/>
    <x v="3"/>
    <x v="183"/>
    <n v="27"/>
    <n v="4"/>
    <n v="748"/>
    <n v="3.4838709677419351"/>
    <n v="96.516129032258064"/>
  </r>
  <r>
    <d v="2026-03-24T00:00:00"/>
    <s v="Line C"/>
    <x v="2"/>
    <x v="1"/>
    <x v="347"/>
    <n v="31"/>
    <n v="78"/>
    <n v="564"/>
    <n v="5.2100840336134464"/>
    <n v="94.789915966386545"/>
  </r>
  <r>
    <d v="2026-03-25T00:00:00"/>
    <s v="Line A"/>
    <x v="0"/>
    <x v="2"/>
    <x v="348"/>
    <n v="15"/>
    <n v="51"/>
    <n v="1008"/>
    <n v="1.466275659824047"/>
    <n v="98.533724340175951"/>
  </r>
  <r>
    <d v="2026-03-25T00:00:00"/>
    <s v="Line A"/>
    <x v="1"/>
    <x v="2"/>
    <x v="349"/>
    <n v="15"/>
    <n v="38"/>
    <n v="999"/>
    <n v="1.4792899408284019"/>
    <n v="98.520710059171606"/>
  </r>
  <r>
    <d v="2026-03-25T00:00:00"/>
    <s v="Line A"/>
    <x v="2"/>
    <x v="0"/>
    <x v="132"/>
    <n v="22"/>
    <n v="4"/>
    <n v="875"/>
    <n v="2.4526198439241922"/>
    <n v="97.547380156075818"/>
  </r>
  <r>
    <d v="2026-03-25T00:00:00"/>
    <s v="Line B"/>
    <x v="0"/>
    <x v="3"/>
    <x v="177"/>
    <n v="20"/>
    <n v="77"/>
    <n v="789"/>
    <n v="2.4721878862793569"/>
    <n v="97.527812113720643"/>
  </r>
  <r>
    <d v="2026-03-25T00:00:00"/>
    <s v="Line B"/>
    <x v="1"/>
    <x v="0"/>
    <x v="274"/>
    <n v="22"/>
    <n v="28"/>
    <n v="881"/>
    <n v="2.436323366555925"/>
    <n v="97.563676633444075"/>
  </r>
  <r>
    <d v="2026-03-25T00:00:00"/>
    <s v="Line B"/>
    <x v="2"/>
    <x v="0"/>
    <x v="122"/>
    <n v="30"/>
    <n v="2"/>
    <n v="840"/>
    <n v="3.4482758620689649"/>
    <n v="96.551724137931032"/>
  </r>
  <r>
    <d v="2026-03-25T00:00:00"/>
    <s v="Line C"/>
    <x v="0"/>
    <x v="2"/>
    <x v="20"/>
    <n v="32"/>
    <n v="14"/>
    <n v="888"/>
    <n v="3.4782608695652169"/>
    <n v="96.521739130434781"/>
  </r>
  <r>
    <d v="2026-03-25T00:00:00"/>
    <s v="Line C"/>
    <x v="1"/>
    <x v="2"/>
    <x v="193"/>
    <n v="27"/>
    <n v="65"/>
    <n v="762"/>
    <n v="3.422053231939163"/>
    <n v="96.577946768060841"/>
  </r>
  <r>
    <d v="2026-03-25T00:00:00"/>
    <s v="Line C"/>
    <x v="2"/>
    <x v="0"/>
    <x v="302"/>
    <n v="31"/>
    <n v="51"/>
    <n v="668"/>
    <n v="4.4349070100143066"/>
    <n v="95.565092989985686"/>
  </r>
  <r>
    <d v="2026-03-26T00:00:00"/>
    <s v="Line A"/>
    <x v="0"/>
    <x v="2"/>
    <x v="350"/>
    <n v="16"/>
    <n v="19"/>
    <n v="1091"/>
    <n v="1.445347786811201"/>
    <n v="98.554652213188803"/>
  </r>
  <r>
    <d v="2026-03-26T00:00:00"/>
    <s v="Line A"/>
    <x v="1"/>
    <x v="1"/>
    <x v="6"/>
    <n v="18"/>
    <n v="75"/>
    <n v="789"/>
    <n v="2.2304832713754652"/>
    <n v="97.769516728624538"/>
  </r>
  <r>
    <d v="2026-03-26T00:00:00"/>
    <s v="Line A"/>
    <x v="2"/>
    <x v="2"/>
    <x v="153"/>
    <n v="23"/>
    <n v="5"/>
    <n v="917"/>
    <n v="2.4468085106382982"/>
    <n v="97.553191489361694"/>
  </r>
  <r>
    <d v="2026-03-26T00:00:00"/>
    <s v="Line B"/>
    <x v="0"/>
    <x v="2"/>
    <x v="351"/>
    <n v="25"/>
    <n v="6"/>
    <n v="1010"/>
    <n v="2.4154589371980681"/>
    <n v="97.584541062801932"/>
  </r>
  <r>
    <d v="2026-03-26T00:00:00"/>
    <s v="Line B"/>
    <x v="1"/>
    <x v="2"/>
    <x v="352"/>
    <n v="21"/>
    <n v="79"/>
    <n v="844"/>
    <n v="2.4277456647398838"/>
    <n v="97.572254335260112"/>
  </r>
  <r>
    <d v="2026-03-26T00:00:00"/>
    <s v="Line B"/>
    <x v="2"/>
    <x v="3"/>
    <x v="279"/>
    <n v="24"/>
    <n v="79"/>
    <n v="680"/>
    <n v="3.4090909090909092"/>
    <n v="96.590909090909093"/>
  </r>
  <r>
    <d v="2026-03-26T00:00:00"/>
    <s v="Line C"/>
    <x v="0"/>
    <x v="2"/>
    <x v="205"/>
    <n v="26"/>
    <n v="75"/>
    <n v="736"/>
    <n v="3.4120734908136479"/>
    <n v="96.587926509186346"/>
  </r>
  <r>
    <d v="2026-03-26T00:00:00"/>
    <s v="Line C"/>
    <x v="1"/>
    <x v="2"/>
    <x v="300"/>
    <n v="25"/>
    <n v="88"/>
    <n v="714"/>
    <n v="3.3829499323410008"/>
    <n v="96.617050067658994"/>
  </r>
  <r>
    <d v="2026-03-26T00:00:00"/>
    <s v="Line C"/>
    <x v="2"/>
    <x v="3"/>
    <x v="353"/>
    <n v="28"/>
    <n v="78"/>
    <n v="610"/>
    <n v="4.3887147335423196"/>
    <n v="95.611285266457685"/>
  </r>
  <r>
    <d v="2026-03-27T00:00:00"/>
    <s v="Line A"/>
    <x v="0"/>
    <x v="2"/>
    <x v="342"/>
    <n v="15"/>
    <n v="24"/>
    <n v="1035"/>
    <n v="1.428571428571429"/>
    <n v="98.571428571428584"/>
  </r>
  <r>
    <d v="2026-03-27T00:00:00"/>
    <s v="Line A"/>
    <x v="1"/>
    <x v="2"/>
    <x v="257"/>
    <n v="15"/>
    <n v="2"/>
    <n v="1016"/>
    <n v="1.4548981571290009"/>
    <n v="98.545101842870992"/>
  </r>
  <r>
    <d v="2026-03-27T00:00:00"/>
    <s v="Line A"/>
    <x v="2"/>
    <x v="3"/>
    <x v="193"/>
    <n v="19"/>
    <n v="63"/>
    <n v="770"/>
    <n v="2.4081115335868191"/>
    <n v="97.591888466413181"/>
  </r>
  <r>
    <d v="2026-03-27T00:00:00"/>
    <s v="Line B"/>
    <x v="0"/>
    <x v="0"/>
    <x v="352"/>
    <n v="21"/>
    <n v="49"/>
    <n v="844"/>
    <n v="2.4277456647398838"/>
    <n v="97.572254335260112"/>
  </r>
  <r>
    <d v="2026-03-27T00:00:00"/>
    <s v="Line B"/>
    <x v="1"/>
    <x v="2"/>
    <x v="268"/>
    <n v="20"/>
    <n v="88"/>
    <n v="814"/>
    <n v="2.398081534772182"/>
    <n v="97.601918465227826"/>
  </r>
  <r>
    <d v="2026-03-27T00:00:00"/>
    <s v="Line B"/>
    <x v="2"/>
    <x v="2"/>
    <x v="220"/>
    <n v="27"/>
    <n v="78"/>
    <n v="753"/>
    <n v="3.4615384615384621"/>
    <n v="96.538461538461533"/>
  </r>
  <r>
    <d v="2026-03-27T00:00:00"/>
    <s v="Line C"/>
    <x v="0"/>
    <x v="0"/>
    <x v="82"/>
    <n v="28"/>
    <n v="42"/>
    <n v="784"/>
    <n v="3.4482758620689649"/>
    <n v="96.551724137931032"/>
  </r>
  <r>
    <d v="2026-03-27T00:00:00"/>
    <s v="Line C"/>
    <x v="1"/>
    <x v="0"/>
    <x v="146"/>
    <n v="24"/>
    <n v="64"/>
    <n v="668"/>
    <n v="3.4682080924855492"/>
    <n v="96.531791907514446"/>
  </r>
  <r>
    <d v="2026-03-27T00:00:00"/>
    <s v="Line C"/>
    <x v="2"/>
    <x v="2"/>
    <x v="291"/>
    <n v="34"/>
    <n v="29"/>
    <n v="734"/>
    <n v="4.4270833333333339"/>
    <n v="95.572916666666657"/>
  </r>
  <r>
    <d v="2026-03-28T00:00:00"/>
    <s v="Line A"/>
    <x v="0"/>
    <x v="3"/>
    <x v="354"/>
    <n v="14"/>
    <n v="19"/>
    <n v="954"/>
    <n v="1.446280991735537"/>
    <n v="98.553719008264466"/>
  </r>
  <r>
    <d v="2026-03-28T00:00:00"/>
    <s v="Line A"/>
    <x v="1"/>
    <x v="0"/>
    <x v="190"/>
    <n v="13"/>
    <n v="57"/>
    <n v="897"/>
    <n v="1.428571428571429"/>
    <n v="98.571428571428584"/>
  </r>
  <r>
    <d v="2026-03-28T00:00:00"/>
    <s v="Line A"/>
    <x v="2"/>
    <x v="1"/>
    <x v="241"/>
    <n v="25"/>
    <n v="70"/>
    <n v="736"/>
    <n v="3.2851511169513801"/>
    <n v="96.714848883048617"/>
  </r>
  <r>
    <d v="2026-03-28T00:00:00"/>
    <s v="Line B"/>
    <x v="0"/>
    <x v="0"/>
    <x v="219"/>
    <n v="20"/>
    <n v="89"/>
    <n v="781"/>
    <n v="2.4968789013732828"/>
    <n v="97.503121098626721"/>
  </r>
  <r>
    <d v="2026-03-28T00:00:00"/>
    <s v="Line B"/>
    <x v="1"/>
    <x v="2"/>
    <x v="281"/>
    <n v="21"/>
    <n v="68"/>
    <n v="846"/>
    <n v="2.422145328719723"/>
    <n v="97.577854671280278"/>
  </r>
  <r>
    <d v="2026-03-28T00:00:00"/>
    <s v="Line B"/>
    <x v="2"/>
    <x v="1"/>
    <x v="173"/>
    <n v="32"/>
    <n v="7"/>
    <n v="722"/>
    <n v="4.2440318302387263"/>
    <n v="95.755968169761275"/>
  </r>
  <r>
    <d v="2026-03-28T00:00:00"/>
    <s v="Line C"/>
    <x v="0"/>
    <x v="1"/>
    <x v="173"/>
    <n v="32"/>
    <n v="35"/>
    <n v="722"/>
    <n v="4.2440318302387263"/>
    <n v="95.755968169761275"/>
  </r>
  <r>
    <d v="2026-03-28T00:00:00"/>
    <s v="Line C"/>
    <x v="1"/>
    <x v="0"/>
    <x v="233"/>
    <n v="24"/>
    <n v="70"/>
    <n v="690"/>
    <n v="3.3613445378151261"/>
    <n v="96.638655462184872"/>
  </r>
  <r>
    <d v="2026-03-28T00:00:00"/>
    <s v="Line C"/>
    <x v="2"/>
    <x v="2"/>
    <x v="87"/>
    <n v="32"/>
    <n v="67"/>
    <n v="687"/>
    <n v="4.4506258692628649"/>
    <n v="95.549374130737135"/>
  </r>
  <r>
    <d v="2026-03-29T00:00:00"/>
    <s v="Line A"/>
    <x v="0"/>
    <x v="2"/>
    <x v="355"/>
    <n v="14"/>
    <n v="60"/>
    <n v="927"/>
    <n v="1.487778958554729"/>
    <n v="98.512221041445272"/>
  </r>
  <r>
    <d v="2026-03-29T00:00:00"/>
    <s v="Line A"/>
    <x v="1"/>
    <x v="3"/>
    <x v="291"/>
    <n v="11"/>
    <n v="88"/>
    <n v="757"/>
    <n v="1.432291666666667"/>
    <n v="98.567708333333343"/>
  </r>
  <r>
    <d v="2026-03-29T00:00:00"/>
    <s v="Line A"/>
    <x v="2"/>
    <x v="0"/>
    <x v="134"/>
    <n v="20"/>
    <n v="78"/>
    <n v="809"/>
    <n v="2.4125452352231598"/>
    <n v="97.587454764776837"/>
  </r>
  <r>
    <d v="2026-03-29T00:00:00"/>
    <s v="Line B"/>
    <x v="0"/>
    <x v="1"/>
    <x v="14"/>
    <n v="26"/>
    <n v="10"/>
    <n v="788"/>
    <n v="3.1941031941031941"/>
    <n v="96.805896805896808"/>
  </r>
  <r>
    <d v="2026-03-29T00:00:00"/>
    <s v="Line B"/>
    <x v="1"/>
    <x v="1"/>
    <x v="22"/>
    <n v="27"/>
    <n v="2"/>
    <n v="792"/>
    <n v="3.296703296703297"/>
    <n v="96.703296703296701"/>
  </r>
  <r>
    <d v="2026-03-29T00:00:00"/>
    <s v="Line B"/>
    <x v="2"/>
    <x v="3"/>
    <x v="329"/>
    <n v="22"/>
    <n v="90"/>
    <n v="622"/>
    <n v="3.4161490683229809"/>
    <n v="96.58385093167702"/>
  </r>
  <r>
    <d v="2026-03-29T00:00:00"/>
    <s v="Line C"/>
    <x v="0"/>
    <x v="3"/>
    <x v="25"/>
    <n v="25"/>
    <n v="81"/>
    <n v="705"/>
    <n v="3.4246575342465748"/>
    <n v="96.575342465753423"/>
  </r>
  <r>
    <d v="2026-03-29T00:00:00"/>
    <s v="Line C"/>
    <x v="1"/>
    <x v="3"/>
    <x v="327"/>
    <n v="23"/>
    <n v="63"/>
    <n v="650"/>
    <n v="3.4175334323922728"/>
    <n v="96.582466567607725"/>
  </r>
  <r>
    <d v="2026-03-29T00:00:00"/>
    <s v="Line C"/>
    <x v="2"/>
    <x v="0"/>
    <x v="356"/>
    <n v="31"/>
    <n v="47"/>
    <n v="669"/>
    <n v="4.4285714285714279"/>
    <n v="95.571428571428569"/>
  </r>
  <r>
    <d v="2026-03-30T00:00:00"/>
    <s v="Line A"/>
    <x v="0"/>
    <x v="0"/>
    <x v="217"/>
    <n v="13"/>
    <n v="71"/>
    <n v="901"/>
    <n v="1.4223194748358861"/>
    <n v="98.577680525164112"/>
  </r>
  <r>
    <d v="2026-03-30T00:00:00"/>
    <s v="Line A"/>
    <x v="1"/>
    <x v="0"/>
    <x v="67"/>
    <n v="12"/>
    <n v="86"/>
    <n v="832"/>
    <n v="1.421800947867299"/>
    <n v="98.578199052132703"/>
  </r>
  <r>
    <d v="2026-03-30T00:00:00"/>
    <s v="Line A"/>
    <x v="2"/>
    <x v="2"/>
    <x v="179"/>
    <n v="20"/>
    <n v="74"/>
    <n v="817"/>
    <n v="2.389486260454003"/>
    <n v="97.610513739546008"/>
  </r>
  <r>
    <d v="2026-03-30T00:00:00"/>
    <s v="Line B"/>
    <x v="0"/>
    <x v="0"/>
    <x v="222"/>
    <n v="21"/>
    <n v="86"/>
    <n v="826"/>
    <n v="2.4793388429752068"/>
    <n v="97.52066115702479"/>
  </r>
  <r>
    <d v="2026-03-30T00:00:00"/>
    <s v="Line B"/>
    <x v="1"/>
    <x v="2"/>
    <x v="46"/>
    <n v="20"/>
    <n v="73"/>
    <n v="810"/>
    <n v="2.4096385542168681"/>
    <n v="97.590361445783131"/>
  </r>
  <r>
    <d v="2026-03-30T00:00:00"/>
    <s v="Line B"/>
    <x v="2"/>
    <x v="0"/>
    <x v="71"/>
    <n v="26"/>
    <n v="62"/>
    <n v="726"/>
    <n v="3.457446808510638"/>
    <n v="96.542553191489361"/>
  </r>
  <r>
    <d v="2026-03-30T00:00:00"/>
    <s v="Line C"/>
    <x v="0"/>
    <x v="3"/>
    <x v="87"/>
    <n v="25"/>
    <n v="73"/>
    <n v="694"/>
    <n v="3.4770514603616132"/>
    <n v="96.522948539638392"/>
  </r>
  <r>
    <d v="2026-03-30T00:00:00"/>
    <s v="Line C"/>
    <x v="2"/>
    <x v="1"/>
    <x v="191"/>
    <n v="34"/>
    <n v="15"/>
    <n v="623"/>
    <n v="5.1750380517503807"/>
    <n v="94.824961948249623"/>
  </r>
  <r>
    <d v="2026-03-31T00:00:00"/>
    <s v="Line A"/>
    <x v="0"/>
    <x v="1"/>
    <x v="253"/>
    <n v="20"/>
    <n v="27"/>
    <n v="888"/>
    <n v="2.2026431718061681"/>
    <n v="97.797356828193841"/>
  </r>
  <r>
    <d v="2026-03-31T00:00:00"/>
    <s v="Line A"/>
    <x v="1"/>
    <x v="1"/>
    <x v="242"/>
    <n v="20"/>
    <n v="1"/>
    <n v="862"/>
    <n v="2.2675736961451252"/>
    <n v="97.732426303854879"/>
  </r>
  <r>
    <d v="2026-03-31T00:00:00"/>
    <s v="Line A"/>
    <x v="2"/>
    <x v="0"/>
    <x v="288"/>
    <n v="22"/>
    <n v="26"/>
    <n v="893"/>
    <n v="2.404371584699454"/>
    <n v="97.595628415300553"/>
  </r>
  <r>
    <d v="2026-03-31T00:00:00"/>
    <s v="Line B"/>
    <x v="0"/>
    <x v="1"/>
    <x v="111"/>
    <n v="24"/>
    <n v="69"/>
    <n v="719"/>
    <n v="3.2301480484522211"/>
    <n v="96.769851951547778"/>
  </r>
  <r>
    <d v="2026-03-31T00:00:00"/>
    <s v="Line B"/>
    <x v="1"/>
    <x v="2"/>
    <x v="324"/>
    <n v="20"/>
    <n v="83"/>
    <n v="796"/>
    <n v="2.4509803921568629"/>
    <n v="97.549019607843135"/>
  </r>
  <r>
    <d v="2026-03-31T00:00:00"/>
    <s v="Line B"/>
    <x v="2"/>
    <x v="1"/>
    <x v="42"/>
    <n v="29"/>
    <n v="38"/>
    <n v="650"/>
    <n v="4.2709867452135493"/>
    <n v="95.729013254786452"/>
  </r>
  <r>
    <d v="2026-03-31T00:00:00"/>
    <s v="Line C"/>
    <x v="0"/>
    <x v="1"/>
    <x v="277"/>
    <n v="29"/>
    <n v="77"/>
    <n v="666"/>
    <n v="4.1726618705035978"/>
    <n v="95.827338129496397"/>
  </r>
  <r>
    <d v="2026-03-31T00:00:00"/>
    <s v="Line C"/>
    <x v="1"/>
    <x v="1"/>
    <x v="344"/>
    <n v="29"/>
    <n v="28"/>
    <n v="648"/>
    <n v="4.2836041358936487"/>
    <n v="95.716395864106346"/>
  </r>
  <r>
    <d v="2026-03-31T00:00:00"/>
    <s v="Line C"/>
    <x v="2"/>
    <x v="0"/>
    <x v="357"/>
    <n v="30"/>
    <n v="66"/>
    <n v="652"/>
    <n v="4.3988269794721413"/>
    <n v="95.601173020527867"/>
  </r>
  <r>
    <d v="2026-04-01T00:00:00"/>
    <s v="Line A"/>
    <x v="0"/>
    <x v="0"/>
    <x v="9"/>
    <n v="14"/>
    <n v="44"/>
    <n v="947"/>
    <n v="1.4568158168574401"/>
    <n v="98.543184183142557"/>
  </r>
  <r>
    <d v="2026-04-01T00:00:00"/>
    <s v="Line A"/>
    <x v="1"/>
    <x v="3"/>
    <x v="86"/>
    <n v="11"/>
    <n v="79"/>
    <n v="779"/>
    <n v="1.3924050632911389"/>
    <n v="98.607594936708864"/>
  </r>
  <r>
    <d v="2026-04-01T00:00:00"/>
    <s v="Line A"/>
    <x v="2"/>
    <x v="3"/>
    <x v="11"/>
    <n v="20"/>
    <n v="60"/>
    <n v="798"/>
    <n v="2.4449877750611249"/>
    <n v="97.555012224938878"/>
  </r>
  <r>
    <d v="2026-04-01T00:00:00"/>
    <s v="Line B"/>
    <x v="0"/>
    <x v="2"/>
    <x v="114"/>
    <n v="20"/>
    <n v="85"/>
    <n v="807"/>
    <n v="2.418379685610641"/>
    <n v="97.581620314389355"/>
  </r>
  <r>
    <d v="2026-04-01T00:00:00"/>
    <s v="Line B"/>
    <x v="1"/>
    <x v="3"/>
    <x v="86"/>
    <n v="19"/>
    <n v="53"/>
    <n v="771"/>
    <n v="2.40506329113924"/>
    <n v="97.594936708860757"/>
  </r>
  <r>
    <d v="2026-04-01T00:00:00"/>
    <s v="Line B"/>
    <x v="2"/>
    <x v="0"/>
    <x v="28"/>
    <n v="27"/>
    <n v="43"/>
    <n v="770"/>
    <n v="3.3877038895859481"/>
    <n v="96.61229611041405"/>
  </r>
  <r>
    <d v="2026-04-01T00:00:00"/>
    <s v="Line C"/>
    <x v="0"/>
    <x v="2"/>
    <x v="179"/>
    <n v="29"/>
    <n v="66"/>
    <n v="808"/>
    <n v="3.4647550776583032"/>
    <n v="96.535244922341704"/>
  </r>
  <r>
    <d v="2026-04-01T00:00:00"/>
    <s v="Line C"/>
    <x v="1"/>
    <x v="3"/>
    <x v="173"/>
    <n v="26"/>
    <n v="27"/>
    <n v="728"/>
    <n v="3.4482758620689649"/>
    <n v="96.551724137931032"/>
  </r>
  <r>
    <d v="2026-04-01T00:00:00"/>
    <s v="Line C"/>
    <x v="2"/>
    <x v="3"/>
    <x v="279"/>
    <n v="31"/>
    <n v="12"/>
    <n v="673"/>
    <n v="4.4034090909090908"/>
    <n v="95.596590909090907"/>
  </r>
  <r>
    <d v="2026-04-02T00:00:00"/>
    <s v="Line A"/>
    <x v="0"/>
    <x v="2"/>
    <x v="57"/>
    <n v="15"/>
    <n v="34"/>
    <n v="985"/>
    <n v="1.5"/>
    <n v="98.5"/>
  </r>
  <r>
    <d v="2026-04-02T00:00:00"/>
    <s v="Line A"/>
    <x v="1"/>
    <x v="2"/>
    <x v="197"/>
    <n v="14"/>
    <n v="29"/>
    <n v="978"/>
    <n v="1.411290322580645"/>
    <n v="98.588709677419345"/>
  </r>
  <r>
    <d v="2026-04-02T00:00:00"/>
    <s v="Line A"/>
    <x v="2"/>
    <x v="2"/>
    <x v="11"/>
    <n v="20"/>
    <n v="89"/>
    <n v="798"/>
    <n v="2.4449877750611249"/>
    <n v="97.555012224938878"/>
  </r>
  <r>
    <d v="2026-04-02T00:00:00"/>
    <s v="Line B"/>
    <x v="0"/>
    <x v="0"/>
    <x v="358"/>
    <n v="23"/>
    <n v="36"/>
    <n v="903"/>
    <n v="2.483801295896328"/>
    <n v="97.516198704103672"/>
  </r>
  <r>
    <d v="2026-04-02T00:00:00"/>
    <s v="Line B"/>
    <x v="1"/>
    <x v="3"/>
    <x v="308"/>
    <n v="18"/>
    <n v="90"/>
    <n v="724"/>
    <n v="2.4258760107816708"/>
    <n v="97.574123989218336"/>
  </r>
  <r>
    <d v="2026-04-02T00:00:00"/>
    <s v="Line B"/>
    <x v="2"/>
    <x v="0"/>
    <x v="238"/>
    <n v="29"/>
    <n v="4"/>
    <n v="822"/>
    <n v="3.4077555816686251"/>
    <n v="96.592244418331376"/>
  </r>
  <r>
    <d v="2026-04-02T00:00:00"/>
    <s v="Line C"/>
    <x v="0"/>
    <x v="0"/>
    <x v="137"/>
    <n v="24"/>
    <n v="78"/>
    <n v="688"/>
    <n v="3.3707865168539319"/>
    <n v="96.629213483146074"/>
  </r>
  <r>
    <d v="2026-04-02T00:00:00"/>
    <s v="Line C"/>
    <x v="1"/>
    <x v="2"/>
    <x v="93"/>
    <n v="28"/>
    <n v="53"/>
    <n v="789"/>
    <n v="3.4271725826193391"/>
    <n v="96.572827417380651"/>
  </r>
  <r>
    <d v="2026-04-02T00:00:00"/>
    <s v="Line C"/>
    <x v="2"/>
    <x v="0"/>
    <x v="316"/>
    <n v="34"/>
    <n v="13"/>
    <n v="730"/>
    <n v="4.4502617801047117"/>
    <n v="95.549738219895289"/>
  </r>
  <r>
    <d v="2026-04-03T00:00:00"/>
    <s v="Line A"/>
    <x v="0"/>
    <x v="1"/>
    <x v="55"/>
    <n v="19"/>
    <n v="30"/>
    <n v="824"/>
    <n v="2.2538552787663111"/>
    <n v="97.746144721233691"/>
  </r>
  <r>
    <d v="2026-04-03T00:00:00"/>
    <s v="Line A"/>
    <x v="1"/>
    <x v="3"/>
    <x v="323"/>
    <n v="12"/>
    <n v="24"/>
    <n v="854"/>
    <n v="1.38568129330254"/>
    <n v="98.61431870669746"/>
  </r>
  <r>
    <d v="2026-04-03T00:00:00"/>
    <s v="Line A"/>
    <x v="2"/>
    <x v="0"/>
    <x v="86"/>
    <n v="19"/>
    <n v="75"/>
    <n v="771"/>
    <n v="2.40506329113924"/>
    <n v="97.594936708860757"/>
  </r>
  <r>
    <d v="2026-04-03T00:00:00"/>
    <s v="Line B"/>
    <x v="0"/>
    <x v="1"/>
    <x v="352"/>
    <n v="28"/>
    <n v="17"/>
    <n v="837"/>
    <n v="3.2369942196531789"/>
    <n v="96.763005780346816"/>
  </r>
  <r>
    <d v="2026-04-03T00:00:00"/>
    <s v="Line B"/>
    <x v="1"/>
    <x v="1"/>
    <x v="101"/>
    <n v="23"/>
    <n v="88"/>
    <n v="682"/>
    <n v="3.2624113475177299"/>
    <n v="96.737588652482259"/>
  </r>
  <r>
    <d v="2026-04-03T00:00:00"/>
    <s v="Line B"/>
    <x v="2"/>
    <x v="2"/>
    <x v="206"/>
    <n v="28"/>
    <n v="61"/>
    <n v="782"/>
    <n v="3.4567901234567899"/>
    <n v="96.543209876543216"/>
  </r>
  <r>
    <d v="2026-04-03T00:00:00"/>
    <s v="Line C"/>
    <x v="0"/>
    <x v="0"/>
    <x v="5"/>
    <n v="27"/>
    <n v="62"/>
    <n v="756"/>
    <n v="3.4482758620689649"/>
    <n v="96.551724137931032"/>
  </r>
  <r>
    <d v="2026-04-03T00:00:00"/>
    <s v="Line C"/>
    <x v="1"/>
    <x v="3"/>
    <x v="172"/>
    <n v="25"/>
    <n v="10"/>
    <n v="715"/>
    <n v="3.378378378378379"/>
    <n v="96.621621621621628"/>
  </r>
  <r>
    <d v="2026-04-03T00:00:00"/>
    <s v="Line C"/>
    <x v="2"/>
    <x v="1"/>
    <x v="359"/>
    <n v="33"/>
    <n v="52"/>
    <n v="596"/>
    <n v="5.246422893481717"/>
    <n v="94.753577106518279"/>
  </r>
  <r>
    <d v="2026-04-04T00:00:00"/>
    <s v="Line A"/>
    <x v="0"/>
    <x v="0"/>
    <x v="360"/>
    <n v="15"/>
    <n v="17"/>
    <n v="1047"/>
    <n v="1.412429378531074"/>
    <n v="98.587570621468927"/>
  </r>
  <r>
    <d v="2026-04-04T00:00:00"/>
    <s v="Line A"/>
    <x v="1"/>
    <x v="2"/>
    <x v="129"/>
    <n v="14"/>
    <n v="36"/>
    <n v="943"/>
    <n v="1.462904911180773"/>
    <n v="98.537095088819228"/>
  </r>
  <r>
    <d v="2026-04-04T00:00:00"/>
    <s v="Line A"/>
    <x v="2"/>
    <x v="1"/>
    <x v="206"/>
    <n v="26"/>
    <n v="7"/>
    <n v="784"/>
    <n v="3.209876543209877"/>
    <n v="96.790123456790127"/>
  </r>
  <r>
    <d v="2026-04-04T00:00:00"/>
    <s v="Line B"/>
    <x v="0"/>
    <x v="3"/>
    <x v="30"/>
    <n v="18"/>
    <n v="74"/>
    <n v="739"/>
    <n v="2.3778071334213999"/>
    <n v="97.622192866578601"/>
  </r>
  <r>
    <d v="2026-04-04T00:00:00"/>
    <s v="Line B"/>
    <x v="1"/>
    <x v="1"/>
    <x v="361"/>
    <n v="25"/>
    <n v="2"/>
    <n v="745"/>
    <n v="3.2467532467532458"/>
    <n v="96.753246753246756"/>
  </r>
  <r>
    <d v="2026-04-04T00:00:00"/>
    <s v="Line B"/>
    <x v="2"/>
    <x v="2"/>
    <x v="89"/>
    <n v="26"/>
    <n v="77"/>
    <n v="723"/>
    <n v="3.4712950600801071"/>
    <n v="96.528704939919891"/>
  </r>
  <r>
    <d v="2026-04-04T00:00:00"/>
    <s v="Line C"/>
    <x v="0"/>
    <x v="0"/>
    <x v="114"/>
    <n v="28"/>
    <n v="41"/>
    <n v="799"/>
    <n v="3.3857315598548969"/>
    <n v="96.614268440145096"/>
  </r>
  <r>
    <d v="2026-04-04T00:00:00"/>
    <s v="Line C"/>
    <x v="1"/>
    <x v="3"/>
    <x v="261"/>
    <n v="22"/>
    <n v="87"/>
    <n v="634"/>
    <n v="3.3536585365853662"/>
    <n v="96.646341463414629"/>
  </r>
  <r>
    <d v="2026-04-04T00:00:00"/>
    <s v="Line C"/>
    <x v="2"/>
    <x v="3"/>
    <x v="128"/>
    <n v="30"/>
    <n v="20"/>
    <n v="653"/>
    <n v="4.3923865300146412"/>
    <n v="95.607613469985367"/>
  </r>
  <r>
    <d v="2026-04-05T00:00:00"/>
    <s v="Line A"/>
    <x v="0"/>
    <x v="0"/>
    <x v="224"/>
    <n v="14"/>
    <n v="77"/>
    <n v="937"/>
    <n v="1.4721345951629861"/>
    <n v="98.527865404837016"/>
  </r>
  <r>
    <d v="2026-04-05T00:00:00"/>
    <s v="Line A"/>
    <x v="1"/>
    <x v="0"/>
    <x v="293"/>
    <n v="12"/>
    <n v="63"/>
    <n v="834"/>
    <n v="1.418439716312057"/>
    <n v="98.581560283687935"/>
  </r>
  <r>
    <d v="2026-04-05T00:00:00"/>
    <s v="Line A"/>
    <x v="2"/>
    <x v="2"/>
    <x v="362"/>
    <n v="22"/>
    <n v="33"/>
    <n v="871"/>
    <n v="2.4636058230683089"/>
    <n v="97.536394176931694"/>
  </r>
  <r>
    <d v="2026-04-05T00:00:00"/>
    <s v="Line B"/>
    <x v="0"/>
    <x v="3"/>
    <x v="234"/>
    <n v="21"/>
    <n v="34"/>
    <n v="847"/>
    <n v="2.419354838709677"/>
    <n v="97.58064516129032"/>
  </r>
  <r>
    <d v="2026-04-05T00:00:00"/>
    <s v="Line B"/>
    <x v="1"/>
    <x v="0"/>
    <x v="149"/>
    <n v="21"/>
    <n v="28"/>
    <n v="843"/>
    <n v="2.4305555555555558"/>
    <n v="97.569444444444443"/>
  </r>
  <r>
    <d v="2026-04-05T00:00:00"/>
    <s v="Line B"/>
    <x v="2"/>
    <x v="1"/>
    <x v="305"/>
    <n v="28"/>
    <n v="72"/>
    <n v="624"/>
    <n v="4.294478527607362"/>
    <n v="95.705521472392647"/>
  </r>
  <r>
    <d v="2026-04-05T00:00:00"/>
    <s v="Line C"/>
    <x v="0"/>
    <x v="1"/>
    <x v="166"/>
    <n v="31"/>
    <n v="37"/>
    <n v="704"/>
    <n v="4.2176870748299313"/>
    <n v="95.782312925170061"/>
  </r>
  <r>
    <d v="2026-04-05T00:00:00"/>
    <s v="Line C"/>
    <x v="1"/>
    <x v="3"/>
    <x v="59"/>
    <n v="25"/>
    <n v="19"/>
    <n v="701"/>
    <n v="3.443526170798898"/>
    <n v="96.55647382920111"/>
  </r>
  <r>
    <d v="2026-04-05T00:00:00"/>
    <s v="Line C"/>
    <x v="2"/>
    <x v="1"/>
    <x v="363"/>
    <n v="32"/>
    <n v="49"/>
    <n v="590"/>
    <n v="5.144694533762058"/>
    <n v="94.855305466237937"/>
  </r>
  <r>
    <d v="2026-04-06T00:00:00"/>
    <s v="Line A"/>
    <x v="0"/>
    <x v="1"/>
    <x v="131"/>
    <n v="20"/>
    <n v="45"/>
    <n v="866"/>
    <n v="2.2573363431151239"/>
    <n v="97.742663656884872"/>
  </r>
  <r>
    <d v="2026-04-06T00:00:00"/>
    <s v="Line A"/>
    <x v="1"/>
    <x v="1"/>
    <x v="165"/>
    <n v="19"/>
    <n v="6"/>
    <n v="820"/>
    <n v="2.264600715137068"/>
    <n v="97.735399284862936"/>
  </r>
  <r>
    <d v="2026-04-06T00:00:00"/>
    <s v="Line A"/>
    <x v="2"/>
    <x v="3"/>
    <x v="231"/>
    <n v="20"/>
    <n v="37"/>
    <n v="791"/>
    <n v="2.466091245376079"/>
    <n v="97.533908754623923"/>
  </r>
  <r>
    <d v="2026-04-06T00:00:00"/>
    <s v="Line B"/>
    <x v="0"/>
    <x v="0"/>
    <x v="183"/>
    <n v="19"/>
    <n v="88"/>
    <n v="756"/>
    <n v="2.4516129032258061"/>
    <n v="97.548387096774192"/>
  </r>
  <r>
    <d v="2026-04-06T00:00:00"/>
    <s v="Line B"/>
    <x v="1"/>
    <x v="1"/>
    <x v="232"/>
    <n v="25"/>
    <n v="15"/>
    <n v="747"/>
    <n v="3.2383419689119171"/>
    <n v="96.761658031088089"/>
  </r>
  <r>
    <d v="2026-04-06T00:00:00"/>
    <s v="Line B"/>
    <x v="2"/>
    <x v="0"/>
    <x v="364"/>
    <n v="27"/>
    <n v="57"/>
    <n v="747"/>
    <n v="3.4883720930232558"/>
    <n v="96.511627906976756"/>
  </r>
  <r>
    <d v="2026-04-06T00:00:00"/>
    <s v="Line C"/>
    <x v="0"/>
    <x v="2"/>
    <x v="55"/>
    <n v="29"/>
    <n v="59"/>
    <n v="814"/>
    <n v="3.4400948991696318"/>
    <n v="96.559905100830363"/>
  </r>
  <r>
    <d v="2026-04-06T00:00:00"/>
    <s v="Line C"/>
    <x v="1"/>
    <x v="3"/>
    <x v="331"/>
    <n v="25"/>
    <n v="44"/>
    <n v="697"/>
    <n v="3.4626038781163442"/>
    <n v="96.53739612188366"/>
  </r>
  <r>
    <d v="2026-04-06T00:00:00"/>
    <s v="Line C"/>
    <x v="2"/>
    <x v="3"/>
    <x v="365"/>
    <n v="29"/>
    <n v="26"/>
    <n v="624"/>
    <n v="4.4410413476263404"/>
    <n v="95.558958652373661"/>
  </r>
  <r>
    <d v="2026-04-07T00:00:00"/>
    <s v="Line A"/>
    <x v="0"/>
    <x v="2"/>
    <x v="366"/>
    <n v="15"/>
    <n v="61"/>
    <n v="1019"/>
    <n v="1.4506769825918759"/>
    <n v="98.549323017408113"/>
  </r>
  <r>
    <d v="2026-04-07T00:00:00"/>
    <s v="Line A"/>
    <x v="1"/>
    <x v="3"/>
    <x v="75"/>
    <n v="12"/>
    <n v="66"/>
    <n v="844"/>
    <n v="1.4018691588785051"/>
    <n v="98.598130841121502"/>
  </r>
  <r>
    <d v="2026-04-07T00:00:00"/>
    <s v="Line A"/>
    <x v="2"/>
    <x v="2"/>
    <x v="276"/>
    <n v="22"/>
    <n v="28"/>
    <n v="879"/>
    <n v="2.4417314095449498"/>
    <n v="97.558268590455057"/>
  </r>
  <r>
    <d v="2026-04-07T00:00:00"/>
    <s v="Line B"/>
    <x v="0"/>
    <x v="2"/>
    <x v="322"/>
    <n v="22"/>
    <n v="80"/>
    <n v="865"/>
    <n v="2.480270574971815"/>
    <n v="97.519729425028189"/>
  </r>
  <r>
    <d v="2026-04-07T00:00:00"/>
    <s v="Line B"/>
    <x v="1"/>
    <x v="1"/>
    <x v="90"/>
    <n v="24"/>
    <n v="71"/>
    <n v="705"/>
    <n v="3.2921810699588478"/>
    <n v="96.707818930041157"/>
  </r>
  <r>
    <d v="2026-04-07T00:00:00"/>
    <s v="Line B"/>
    <x v="2"/>
    <x v="3"/>
    <x v="299"/>
    <n v="27"/>
    <n v="34"/>
    <n v="749"/>
    <n v="3.4793814432989691"/>
    <n v="96.520618556701038"/>
  </r>
  <r>
    <d v="2026-04-07T00:00:00"/>
    <s v="Line C"/>
    <x v="0"/>
    <x v="3"/>
    <x v="94"/>
    <n v="25"/>
    <n v="60"/>
    <n v="703"/>
    <n v="3.4340659340659339"/>
    <n v="96.565934065934073"/>
  </r>
  <r>
    <d v="2026-04-07T00:00:00"/>
    <s v="Line C"/>
    <x v="1"/>
    <x v="1"/>
    <x v="300"/>
    <n v="31"/>
    <n v="15"/>
    <n v="708"/>
    <n v="4.1948579161028423"/>
    <n v="95.805142083897152"/>
  </r>
  <r>
    <d v="2026-04-07T00:00:00"/>
    <s v="Line C"/>
    <x v="2"/>
    <x v="0"/>
    <x v="194"/>
    <n v="33"/>
    <n v="21"/>
    <n v="720"/>
    <n v="4.3824701195219129"/>
    <n v="95.617529880478088"/>
  </r>
  <r>
    <d v="2026-04-08T00:00:00"/>
    <s v="Line A"/>
    <x v="0"/>
    <x v="1"/>
    <x v="178"/>
    <n v="19"/>
    <n v="57"/>
    <n v="842"/>
    <n v="2.206736353077817"/>
    <n v="97.793263646922185"/>
  </r>
  <r>
    <d v="2026-04-08T00:00:00"/>
    <s v="Line A"/>
    <x v="1"/>
    <x v="3"/>
    <x v="114"/>
    <n v="12"/>
    <n v="90"/>
    <n v="815"/>
    <n v="1.451027811366385"/>
    <n v="98.548972188633613"/>
  </r>
  <r>
    <d v="2026-04-08T00:00:00"/>
    <s v="Line A"/>
    <x v="2"/>
    <x v="1"/>
    <x v="176"/>
    <n v="23"/>
    <n v="81"/>
    <n v="687"/>
    <n v="3.23943661971831"/>
    <n v="96.760563380281695"/>
  </r>
  <r>
    <d v="2026-04-08T00:00:00"/>
    <s v="Line B"/>
    <x v="0"/>
    <x v="1"/>
    <x v="44"/>
    <n v="27"/>
    <n v="28"/>
    <n v="813"/>
    <n v="3.214285714285714"/>
    <n v="96.785714285714292"/>
  </r>
  <r>
    <d v="2026-04-08T00:00:00"/>
    <s v="Line B"/>
    <x v="1"/>
    <x v="1"/>
    <x v="93"/>
    <n v="26"/>
    <n v="9"/>
    <n v="791"/>
    <n v="3.1823745410036719"/>
    <n v="96.817625458996332"/>
  </r>
  <r>
    <d v="2026-04-08T00:00:00"/>
    <s v="Line B"/>
    <x v="2"/>
    <x v="1"/>
    <x v="304"/>
    <n v="30"/>
    <n v="16"/>
    <n v="676"/>
    <n v="4.2492917847025504"/>
    <n v="95.75070821529745"/>
  </r>
  <r>
    <d v="2026-04-08T00:00:00"/>
    <s v="Line C"/>
    <x v="0"/>
    <x v="2"/>
    <x v="209"/>
    <n v="28"/>
    <n v="76"/>
    <n v="794"/>
    <n v="3.4063260340632602"/>
    <n v="96.593673965936745"/>
  </r>
  <r>
    <d v="2026-04-08T00:00:00"/>
    <s v="Line C"/>
    <x v="1"/>
    <x v="3"/>
    <x v="356"/>
    <n v="24"/>
    <n v="72"/>
    <n v="676"/>
    <n v="3.4285714285714288"/>
    <n v="96.571428571428569"/>
  </r>
  <r>
    <d v="2026-04-08T00:00:00"/>
    <s v="Line C"/>
    <x v="2"/>
    <x v="0"/>
    <x v="367"/>
    <n v="30"/>
    <n v="43"/>
    <n v="644"/>
    <n v="4.4510385756676563"/>
    <n v="95.548961424332347"/>
  </r>
  <r>
    <d v="2026-04-09T00:00:00"/>
    <s v="Line A"/>
    <x v="0"/>
    <x v="3"/>
    <x v="368"/>
    <n v="13"/>
    <n v="39"/>
    <n v="903"/>
    <n v="1.4192139737991269"/>
    <n v="98.580786026200869"/>
  </r>
  <r>
    <d v="2026-04-09T00:00:00"/>
    <s v="Line A"/>
    <x v="1"/>
    <x v="3"/>
    <x v="283"/>
    <n v="13"/>
    <n v="20"/>
    <n v="871"/>
    <n v="1.470588235294118"/>
    <n v="98.529411764705884"/>
  </r>
  <r>
    <d v="2026-04-09T00:00:00"/>
    <s v="Line A"/>
    <x v="2"/>
    <x v="0"/>
    <x v="18"/>
    <n v="21"/>
    <n v="37"/>
    <n v="832"/>
    <n v="2.4618991793669398"/>
    <n v="97.538100820633062"/>
  </r>
  <r>
    <d v="2026-04-09T00:00:00"/>
    <s v="Line B"/>
    <x v="0"/>
    <x v="1"/>
    <x v="183"/>
    <n v="25"/>
    <n v="51"/>
    <n v="750"/>
    <n v="3.225806451612903"/>
    <n v="96.774193548387103"/>
  </r>
  <r>
    <d v="2026-04-09T00:00:00"/>
    <s v="Line B"/>
    <x v="1"/>
    <x v="1"/>
    <x v="146"/>
    <n v="22"/>
    <n v="73"/>
    <n v="670"/>
    <n v="3.1791907514450859"/>
    <n v="96.820809248554923"/>
  </r>
  <r>
    <d v="2026-04-09T00:00:00"/>
    <s v="Line B"/>
    <x v="2"/>
    <x v="0"/>
    <x v="289"/>
    <n v="24"/>
    <n v="88"/>
    <n v="672"/>
    <n v="3.4482758620689649"/>
    <n v="96.551724137931032"/>
  </r>
  <r>
    <d v="2026-04-09T00:00:00"/>
    <s v="Line C"/>
    <x v="0"/>
    <x v="1"/>
    <x v="305"/>
    <n v="28"/>
    <n v="78"/>
    <n v="624"/>
    <n v="4.294478527607362"/>
    <n v="95.705521472392647"/>
  </r>
  <r>
    <d v="2026-04-09T00:00:00"/>
    <s v="Line C"/>
    <x v="1"/>
    <x v="1"/>
    <x v="308"/>
    <n v="31"/>
    <n v="7"/>
    <n v="711"/>
    <n v="4.177897574123989"/>
    <n v="95.822102425876011"/>
  </r>
  <r>
    <d v="2026-04-09T00:00:00"/>
    <s v="Line C"/>
    <x v="2"/>
    <x v="0"/>
    <x v="331"/>
    <n v="32"/>
    <n v="32"/>
    <n v="690"/>
    <n v="4.43213296398892"/>
    <n v="95.56786703601108"/>
  </r>
  <r>
    <d v="2026-04-10T00:00:00"/>
    <s v="Line A"/>
    <x v="0"/>
    <x v="2"/>
    <x v="369"/>
    <n v="15"/>
    <n v="35"/>
    <n v="1002"/>
    <n v="1.474926253687316"/>
    <n v="98.525073746312685"/>
  </r>
  <r>
    <d v="2026-04-10T00:00:00"/>
    <s v="Line A"/>
    <x v="1"/>
    <x v="3"/>
    <x v="60"/>
    <n v="13"/>
    <n v="67"/>
    <n v="856"/>
    <n v="1.4959723820483311"/>
    <n v="98.504027617951678"/>
  </r>
  <r>
    <d v="2026-04-10T00:00:00"/>
    <s v="Line A"/>
    <x v="2"/>
    <x v="0"/>
    <x v="199"/>
    <n v="21"/>
    <n v="46"/>
    <n v="856"/>
    <n v="2.3945267958950969"/>
    <n v="97.605473204104896"/>
  </r>
  <r>
    <d v="2026-04-10T00:00:00"/>
    <s v="Line B"/>
    <x v="0"/>
    <x v="0"/>
    <x v="368"/>
    <n v="22"/>
    <n v="5"/>
    <n v="894"/>
    <n v="2.4017467248908302"/>
    <n v="97.598253275109172"/>
  </r>
  <r>
    <d v="2026-04-10T00:00:00"/>
    <s v="Line B"/>
    <x v="1"/>
    <x v="3"/>
    <x v="258"/>
    <n v="20"/>
    <n v="28"/>
    <n v="804"/>
    <n v="2.4271844660194168"/>
    <n v="97.572815533980588"/>
  </r>
  <r>
    <d v="2026-04-10T00:00:00"/>
    <s v="Line B"/>
    <x v="2"/>
    <x v="3"/>
    <x v="183"/>
    <n v="27"/>
    <n v="8"/>
    <n v="748"/>
    <n v="3.4838709677419351"/>
    <n v="96.516129032258064"/>
  </r>
  <r>
    <d v="2026-04-10T00:00:00"/>
    <s v="Line C"/>
    <x v="0"/>
    <x v="0"/>
    <x v="93"/>
    <n v="28"/>
    <n v="8"/>
    <n v="789"/>
    <n v="3.4271725826193391"/>
    <n v="96.572827417380651"/>
  </r>
  <r>
    <d v="2026-04-10T00:00:00"/>
    <s v="Line C"/>
    <x v="1"/>
    <x v="0"/>
    <x v="158"/>
    <n v="26"/>
    <n v="46"/>
    <n v="721"/>
    <n v="3.4805890227576981"/>
    <n v="96.519410977242302"/>
  </r>
  <r>
    <d v="2026-04-10T00:00:00"/>
    <s v="Line C"/>
    <x v="2"/>
    <x v="2"/>
    <x v="233"/>
    <n v="32"/>
    <n v="39"/>
    <n v="682"/>
    <n v="4.4817927170868348"/>
    <n v="95.518207282913167"/>
  </r>
  <r>
    <d v="2026-04-11T00:00:00"/>
    <s v="Line A"/>
    <x v="0"/>
    <x v="2"/>
    <x v="370"/>
    <n v="17"/>
    <n v="1"/>
    <n v="1131"/>
    <n v="1.480836236933798"/>
    <n v="98.519163763066203"/>
  </r>
  <r>
    <d v="2026-04-11T00:00:00"/>
    <s v="Line A"/>
    <x v="1"/>
    <x v="2"/>
    <x v="187"/>
    <n v="13"/>
    <n v="78"/>
    <n v="891"/>
    <n v="1.4380530973451331"/>
    <n v="98.561946902654867"/>
  </r>
  <r>
    <d v="2026-04-11T00:00:00"/>
    <s v="Line A"/>
    <x v="2"/>
    <x v="3"/>
    <x v="220"/>
    <n v="19"/>
    <n v="39"/>
    <n v="761"/>
    <n v="2.4358974358974361"/>
    <n v="97.564102564102555"/>
  </r>
  <r>
    <d v="2026-04-11T00:00:00"/>
    <s v="Line B"/>
    <x v="0"/>
    <x v="0"/>
    <x v="209"/>
    <n v="20"/>
    <n v="82"/>
    <n v="802"/>
    <n v="2.4330900243308999"/>
    <n v="97.566909975669105"/>
  </r>
  <r>
    <d v="2026-04-11T00:00:00"/>
    <s v="Line B"/>
    <x v="1"/>
    <x v="1"/>
    <x v="186"/>
    <n v="26"/>
    <n v="23"/>
    <n v="774"/>
    <n v="3.25"/>
    <n v="96.75"/>
  </r>
  <r>
    <d v="2026-04-11T00:00:00"/>
    <s v="Line B"/>
    <x v="2"/>
    <x v="2"/>
    <x v="143"/>
    <n v="27"/>
    <n v="84"/>
    <n v="750"/>
    <n v="3.4749034749034751"/>
    <n v="96.525096525096515"/>
  </r>
  <r>
    <d v="2026-04-11T00:00:00"/>
    <s v="Line C"/>
    <x v="0"/>
    <x v="3"/>
    <x v="77"/>
    <n v="27"/>
    <n v="2"/>
    <n v="772"/>
    <n v="3.3792240300375469"/>
    <n v="96.620775969962452"/>
  </r>
  <r>
    <d v="2026-04-11T00:00:00"/>
    <s v="Line C"/>
    <x v="1"/>
    <x v="3"/>
    <x v="371"/>
    <n v="22"/>
    <n v="82"/>
    <n v="611"/>
    <n v="3.4755134281200628"/>
    <n v="96.524486571879947"/>
  </r>
  <r>
    <d v="2026-04-11T00:00:00"/>
    <s v="Line C"/>
    <x v="2"/>
    <x v="1"/>
    <x v="372"/>
    <n v="30"/>
    <n v="62"/>
    <n v="554"/>
    <n v="5.1369863013698627"/>
    <n v="94.863013698630141"/>
  </r>
  <r>
    <d v="2026-04-12T00:00:00"/>
    <s v="Line A"/>
    <x v="0"/>
    <x v="3"/>
    <x v="35"/>
    <n v="14"/>
    <n v="0"/>
    <n v="975"/>
    <n v="1.4155712841253789"/>
    <n v="98.584428715874623"/>
  </r>
  <r>
    <d v="2026-04-12T00:00:00"/>
    <s v="Line A"/>
    <x v="1"/>
    <x v="2"/>
    <x v="373"/>
    <n v="15"/>
    <n v="2"/>
    <n v="1009"/>
    <n v="1.46484375"/>
    <n v="98.53515625"/>
  </r>
  <r>
    <d v="2026-04-12T00:00:00"/>
    <s v="Line A"/>
    <x v="2"/>
    <x v="2"/>
    <x v="260"/>
    <n v="21"/>
    <n v="73"/>
    <n v="850"/>
    <n v="2.411021814006888"/>
    <n v="97.588978185993113"/>
  </r>
  <r>
    <d v="2026-04-12T00:00:00"/>
    <s v="Line B"/>
    <x v="0"/>
    <x v="2"/>
    <x v="352"/>
    <n v="21"/>
    <n v="58"/>
    <n v="844"/>
    <n v="2.4277456647398838"/>
    <n v="97.572254335260112"/>
  </r>
  <r>
    <d v="2026-04-12T00:00:00"/>
    <s v="Line B"/>
    <x v="1"/>
    <x v="3"/>
    <x v="122"/>
    <n v="21"/>
    <n v="18"/>
    <n v="849"/>
    <n v="2.4137931034482758"/>
    <n v="97.586206896551715"/>
  </r>
  <r>
    <d v="2026-04-12T00:00:00"/>
    <s v="Line B"/>
    <x v="2"/>
    <x v="3"/>
    <x v="70"/>
    <n v="24"/>
    <n v="31"/>
    <n v="689"/>
    <n v="3.366058906030855"/>
    <n v="96.633941093969142"/>
  </r>
  <r>
    <d v="2026-04-12T00:00:00"/>
    <s v="Line C"/>
    <x v="0"/>
    <x v="1"/>
    <x v="243"/>
    <n v="30"/>
    <n v="20"/>
    <n v="678"/>
    <n v="4.2372881355932197"/>
    <n v="95.762711864406782"/>
  </r>
  <r>
    <d v="2026-04-12T00:00:00"/>
    <s v="Line C"/>
    <x v="1"/>
    <x v="1"/>
    <x v="17"/>
    <n v="26"/>
    <n v="66"/>
    <n v="590"/>
    <n v="4.220779220779221"/>
    <n v="95.779220779220779"/>
  </r>
  <r>
    <d v="2026-04-12T00:00:00"/>
    <s v="Line C"/>
    <x v="2"/>
    <x v="2"/>
    <x v="25"/>
    <n v="32"/>
    <n v="43"/>
    <n v="698"/>
    <n v="4.3835616438356162"/>
    <n v="95.61643835616438"/>
  </r>
  <r>
    <d v="2026-04-13T00:00:00"/>
    <s v="Line A"/>
    <x v="0"/>
    <x v="3"/>
    <x v="374"/>
    <n v="13"/>
    <n v="89"/>
    <n v="859"/>
    <n v="1.490825688073395"/>
    <n v="98.5091743119266"/>
  </r>
  <r>
    <d v="2026-04-13T00:00:00"/>
    <s v="Line A"/>
    <x v="1"/>
    <x v="3"/>
    <x v="185"/>
    <n v="14"/>
    <n v="7"/>
    <n v="959"/>
    <n v="1.43884892086331"/>
    <n v="98.561151079136692"/>
  </r>
  <r>
    <d v="2026-04-13T00:00:00"/>
    <s v="Line A"/>
    <x v="2"/>
    <x v="2"/>
    <x v="175"/>
    <n v="23"/>
    <n v="37"/>
    <n v="920"/>
    <n v="2.4390243902439019"/>
    <n v="97.560975609756099"/>
  </r>
  <r>
    <d v="2026-04-13T00:00:00"/>
    <s v="Line B"/>
    <x v="0"/>
    <x v="1"/>
    <x v="133"/>
    <n v="24"/>
    <n v="62"/>
    <n v="707"/>
    <n v="3.2831737346101231"/>
    <n v="96.716826265389884"/>
  </r>
  <r>
    <d v="2026-04-13T00:00:00"/>
    <s v="Line B"/>
    <x v="1"/>
    <x v="3"/>
    <x v="201"/>
    <n v="20"/>
    <n v="26"/>
    <n v="803"/>
    <n v="2.4301336573511541"/>
    <n v="97.569866342648851"/>
  </r>
  <r>
    <d v="2026-04-13T00:00:00"/>
    <s v="Line B"/>
    <x v="2"/>
    <x v="0"/>
    <x v="179"/>
    <n v="29"/>
    <n v="27"/>
    <n v="808"/>
    <n v="3.4647550776583032"/>
    <n v="96.535244922341704"/>
  </r>
  <r>
    <d v="2026-04-13T00:00:00"/>
    <s v="Line C"/>
    <x v="0"/>
    <x v="3"/>
    <x v="85"/>
    <n v="27"/>
    <n v="16"/>
    <n v="746"/>
    <n v="3.492884864165589"/>
    <n v="96.507115135834411"/>
  </r>
  <r>
    <d v="2026-04-13T00:00:00"/>
    <s v="Line C"/>
    <x v="1"/>
    <x v="0"/>
    <x v="320"/>
    <n v="26"/>
    <n v="39"/>
    <n v="737"/>
    <n v="3.4076015727391882"/>
    <n v="96.592398427260818"/>
  </r>
  <r>
    <d v="2026-04-13T00:00:00"/>
    <s v="Line C"/>
    <x v="2"/>
    <x v="0"/>
    <x v="207"/>
    <n v="30"/>
    <n v="41"/>
    <n v="657"/>
    <n v="4.3668122270742353"/>
    <n v="95.633187772925766"/>
  </r>
  <r>
    <d v="2026-04-14T00:00:00"/>
    <s v="Line A"/>
    <x v="0"/>
    <x v="1"/>
    <x v="103"/>
    <n v="20"/>
    <n v="46"/>
    <n v="865"/>
    <n v="2.259887005649718"/>
    <n v="97.740112994350284"/>
  </r>
  <r>
    <d v="2026-04-14T00:00:00"/>
    <s v="Line A"/>
    <x v="1"/>
    <x v="1"/>
    <x v="53"/>
    <n v="17"/>
    <n v="69"/>
    <n v="748"/>
    <n v="2.2222222222222219"/>
    <n v="97.777777777777771"/>
  </r>
  <r>
    <d v="2026-04-14T00:00:00"/>
    <s v="Line A"/>
    <x v="2"/>
    <x v="1"/>
    <x v="124"/>
    <n v="26"/>
    <n v="30"/>
    <n v="768"/>
    <n v="3.2745591939546599"/>
    <n v="96.725440806045341"/>
  </r>
  <r>
    <d v="2026-04-14T00:00:00"/>
    <s v="Line B"/>
    <x v="0"/>
    <x v="2"/>
    <x v="375"/>
    <n v="23"/>
    <n v="43"/>
    <n v="904"/>
    <n v="2.4811218985976269"/>
    <n v="97.518878101402379"/>
  </r>
  <r>
    <d v="2026-04-14T00:00:00"/>
    <s v="Line B"/>
    <x v="1"/>
    <x v="1"/>
    <x v="316"/>
    <n v="25"/>
    <n v="54"/>
    <n v="739"/>
    <n v="3.2722513089005241"/>
    <n v="96.727748691099478"/>
  </r>
  <r>
    <d v="2026-04-14T00:00:00"/>
    <s v="Line C"/>
    <x v="0"/>
    <x v="2"/>
    <x v="97"/>
    <n v="30"/>
    <n v="15"/>
    <n v="850"/>
    <n v="3.4090909090909092"/>
    <n v="96.590909090909093"/>
  </r>
  <r>
    <d v="2026-04-14T00:00:00"/>
    <s v="Line C"/>
    <x v="1"/>
    <x v="1"/>
    <x v="4"/>
    <n v="30"/>
    <n v="29"/>
    <n v="686"/>
    <n v="4.1899441340782122"/>
    <n v="95.810055865921782"/>
  </r>
  <r>
    <d v="2026-04-14T00:00:00"/>
    <s v="Line C"/>
    <x v="2"/>
    <x v="3"/>
    <x v="346"/>
    <n v="30"/>
    <n v="40"/>
    <n v="648"/>
    <n v="4.4247787610619467"/>
    <n v="95.575221238938056"/>
  </r>
  <r>
    <d v="2026-04-15T00:00:00"/>
    <s v="Line A"/>
    <x v="0"/>
    <x v="2"/>
    <x v="376"/>
    <n v="15"/>
    <n v="64"/>
    <n v="1011"/>
    <n v="1.4619883040935671"/>
    <n v="98.538011695906434"/>
  </r>
  <r>
    <d v="2026-04-15T00:00:00"/>
    <s v="Line A"/>
    <x v="1"/>
    <x v="3"/>
    <x v="23"/>
    <n v="12"/>
    <n v="72"/>
    <n v="842"/>
    <n v="1.405152224824356"/>
    <n v="98.594847775175637"/>
  </r>
  <r>
    <d v="2026-04-15T00:00:00"/>
    <s v="Line A"/>
    <x v="2"/>
    <x v="2"/>
    <x v="377"/>
    <n v="22"/>
    <n v="25"/>
    <n v="873"/>
    <n v="2.4581005586592179"/>
    <n v="97.541899441340789"/>
  </r>
  <r>
    <d v="2026-04-15T00:00:00"/>
    <s v="Line B"/>
    <x v="0"/>
    <x v="3"/>
    <x v="23"/>
    <n v="21"/>
    <n v="10"/>
    <n v="833"/>
    <n v="2.459016393442623"/>
    <n v="97.540983606557376"/>
  </r>
  <r>
    <d v="2026-04-15T00:00:00"/>
    <s v="Line B"/>
    <x v="1"/>
    <x v="2"/>
    <x v="76"/>
    <n v="20"/>
    <n v="83"/>
    <n v="783"/>
    <n v="2.4906600249066"/>
    <n v="97.509339975093397"/>
  </r>
  <r>
    <d v="2026-04-15T00:00:00"/>
    <s v="Line B"/>
    <x v="2"/>
    <x v="2"/>
    <x v="76"/>
    <n v="28"/>
    <n v="31"/>
    <n v="775"/>
    <n v="3.486924034869241"/>
    <n v="96.513075965130753"/>
  </r>
  <r>
    <d v="2026-04-15T00:00:00"/>
    <s v="Line C"/>
    <x v="0"/>
    <x v="1"/>
    <x v="42"/>
    <n v="29"/>
    <n v="53"/>
    <n v="650"/>
    <n v="4.2709867452135493"/>
    <n v="95.729013254786452"/>
  </r>
  <r>
    <d v="2026-04-15T00:00:00"/>
    <s v="Line C"/>
    <x v="1"/>
    <x v="2"/>
    <x v="115"/>
    <n v="30"/>
    <n v="8"/>
    <n v="845"/>
    <n v="3.4285714285714288"/>
    <n v="96.571428571428569"/>
  </r>
  <r>
    <d v="2026-04-15T00:00:00"/>
    <s v="Line C"/>
    <x v="2"/>
    <x v="0"/>
    <x v="303"/>
    <n v="30"/>
    <n v="87"/>
    <n v="637"/>
    <n v="4.497751124437781"/>
    <n v="95.502248875562231"/>
  </r>
  <r>
    <d v="2026-04-16T00:00:00"/>
    <s v="Line A"/>
    <x v="0"/>
    <x v="2"/>
    <x v="378"/>
    <n v="14"/>
    <n v="45"/>
    <n v="971"/>
    <n v="1.421319796954315"/>
    <n v="98.578680203045693"/>
  </r>
  <r>
    <d v="2026-04-16T00:00:00"/>
    <s v="Line A"/>
    <x v="1"/>
    <x v="0"/>
    <x v="88"/>
    <n v="14"/>
    <n v="33"/>
    <n v="946"/>
    <n v="1.458333333333333"/>
    <n v="98.541666666666671"/>
  </r>
  <r>
    <d v="2026-04-16T00:00:00"/>
    <s v="Line A"/>
    <x v="2"/>
    <x v="1"/>
    <x v="111"/>
    <n v="24"/>
    <n v="50"/>
    <n v="719"/>
    <n v="3.2301480484522211"/>
    <n v="96.769851951547778"/>
  </r>
  <r>
    <d v="2026-04-16T00:00:00"/>
    <s v="Line B"/>
    <x v="0"/>
    <x v="0"/>
    <x v="160"/>
    <n v="20"/>
    <n v="82"/>
    <n v="782"/>
    <n v="2.4937655860349128"/>
    <n v="97.506234413965089"/>
  </r>
  <r>
    <d v="2026-04-16T00:00:00"/>
    <s v="Line B"/>
    <x v="1"/>
    <x v="1"/>
    <x v="54"/>
    <n v="24"/>
    <n v="34"/>
    <n v="712"/>
    <n v="3.2608695652173911"/>
    <n v="96.739130434782609"/>
  </r>
  <r>
    <d v="2026-04-16T00:00:00"/>
    <s v="Line B"/>
    <x v="2"/>
    <x v="2"/>
    <x v="294"/>
    <n v="27"/>
    <n v="69"/>
    <n v="766"/>
    <n v="3.404791929382093"/>
    <n v="96.595208070617915"/>
  </r>
  <r>
    <d v="2026-04-16T00:00:00"/>
    <s v="Line C"/>
    <x v="0"/>
    <x v="3"/>
    <x v="259"/>
    <n v="25"/>
    <n v="44"/>
    <n v="700"/>
    <n v="3.4482758620689649"/>
    <n v="96.551724137931032"/>
  </r>
  <r>
    <d v="2026-04-16T00:00:00"/>
    <s v="Line C"/>
    <x v="1"/>
    <x v="1"/>
    <x v="379"/>
    <n v="27"/>
    <n v="55"/>
    <n v="621"/>
    <n v="4.1666666666666661"/>
    <n v="95.833333333333343"/>
  </r>
  <r>
    <d v="2026-04-16T00:00:00"/>
    <s v="Line C"/>
    <x v="2"/>
    <x v="1"/>
    <x v="128"/>
    <n v="36"/>
    <n v="3"/>
    <n v="647"/>
    <n v="5.2708638360175701"/>
    <n v="94.729136163982432"/>
  </r>
  <r>
    <d v="2026-04-17T00:00:00"/>
    <s v="Line A"/>
    <x v="0"/>
    <x v="0"/>
    <x v="58"/>
    <n v="13"/>
    <n v="82"/>
    <n v="877"/>
    <n v="1.460674157303371"/>
    <n v="98.539325842696641"/>
  </r>
  <r>
    <d v="2026-04-17T00:00:00"/>
    <s v="Line A"/>
    <x v="1"/>
    <x v="2"/>
    <x v="257"/>
    <n v="15"/>
    <n v="33"/>
    <n v="1016"/>
    <n v="1.4548981571290009"/>
    <n v="98.545101842870992"/>
  </r>
  <r>
    <d v="2026-04-17T00:00:00"/>
    <s v="Line A"/>
    <x v="2"/>
    <x v="3"/>
    <x v="361"/>
    <n v="19"/>
    <n v="76"/>
    <n v="751"/>
    <n v="2.4675324675324681"/>
    <n v="97.532467532467535"/>
  </r>
  <r>
    <d v="2026-04-17T00:00:00"/>
    <s v="Line B"/>
    <x v="0"/>
    <x v="1"/>
    <x v="28"/>
    <n v="26"/>
    <n v="44"/>
    <n v="771"/>
    <n v="3.2622333751568382"/>
    <n v="96.737766624843161"/>
  </r>
  <r>
    <d v="2026-04-17T00:00:00"/>
    <s v="Line B"/>
    <x v="1"/>
    <x v="2"/>
    <x v="323"/>
    <n v="21"/>
    <n v="30"/>
    <n v="845"/>
    <n v="2.424942263279446"/>
    <n v="97.575057736720552"/>
  </r>
  <r>
    <d v="2026-04-17T00:00:00"/>
    <s v="Line B"/>
    <x v="2"/>
    <x v="0"/>
    <x v="125"/>
    <n v="25"/>
    <n v="77"/>
    <n v="712"/>
    <n v="3.3921302578018988"/>
    <n v="96.607869742198105"/>
  </r>
  <r>
    <d v="2026-04-17T00:00:00"/>
    <s v="Line C"/>
    <x v="0"/>
    <x v="2"/>
    <x v="29"/>
    <n v="30"/>
    <n v="38"/>
    <n v="853"/>
    <n v="3.3975084937712339"/>
    <n v="96.602491506228759"/>
  </r>
  <r>
    <d v="2026-04-17T00:00:00"/>
    <s v="Line C"/>
    <x v="1"/>
    <x v="0"/>
    <x v="167"/>
    <n v="26"/>
    <n v="45"/>
    <n v="745"/>
    <n v="3.3722438391699092"/>
    <n v="96.627756160830089"/>
  </r>
  <r>
    <d v="2026-04-17T00:00:00"/>
    <s v="Line C"/>
    <x v="2"/>
    <x v="2"/>
    <x v="70"/>
    <n v="32"/>
    <n v="52"/>
    <n v="681"/>
    <n v="4.4880785413744739"/>
    <n v="95.511921458625523"/>
  </r>
  <r>
    <d v="2026-04-18T00:00:00"/>
    <s v="Line A"/>
    <x v="0"/>
    <x v="0"/>
    <x v="380"/>
    <n v="14"/>
    <n v="33"/>
    <n v="964"/>
    <n v="1.4314928425357869"/>
    <n v="98.568507157464211"/>
  </r>
  <r>
    <d v="2026-04-18T00:00:00"/>
    <s v="Line A"/>
    <x v="1"/>
    <x v="1"/>
    <x v="15"/>
    <n v="17"/>
    <n v="71"/>
    <n v="727"/>
    <n v="2.28494623655914"/>
    <n v="97.715053763440864"/>
  </r>
  <r>
    <d v="2026-04-18T00:00:00"/>
    <s v="Line A"/>
    <x v="2"/>
    <x v="1"/>
    <x v="54"/>
    <n v="24"/>
    <n v="62"/>
    <n v="712"/>
    <n v="3.2608695652173911"/>
    <n v="96.739130434782609"/>
  </r>
  <r>
    <d v="2026-04-18T00:00:00"/>
    <s v="Line B"/>
    <x v="0"/>
    <x v="2"/>
    <x v="187"/>
    <n v="22"/>
    <n v="71"/>
    <n v="882"/>
    <n v="2.4336283185840708"/>
    <n v="97.56637168141593"/>
  </r>
  <r>
    <d v="2026-04-18T00:00:00"/>
    <s v="Line B"/>
    <x v="1"/>
    <x v="1"/>
    <x v="381"/>
    <n v="22"/>
    <n v="87"/>
    <n v="663"/>
    <n v="3.211678832116788"/>
    <n v="96.788321167883211"/>
  </r>
  <r>
    <d v="2026-04-18T00:00:00"/>
    <s v="Line B"/>
    <x v="2"/>
    <x v="0"/>
    <x v="71"/>
    <n v="26"/>
    <n v="35"/>
    <n v="726"/>
    <n v="3.457446808510638"/>
    <n v="96.542553191489361"/>
  </r>
  <r>
    <d v="2026-04-18T00:00:00"/>
    <s v="Line C"/>
    <x v="0"/>
    <x v="3"/>
    <x v="289"/>
    <n v="24"/>
    <n v="88"/>
    <n v="672"/>
    <n v="3.4482758620689649"/>
    <n v="96.551724137931032"/>
  </r>
  <r>
    <d v="2026-04-18T00:00:00"/>
    <s v="Line C"/>
    <x v="1"/>
    <x v="0"/>
    <x v="331"/>
    <n v="25"/>
    <n v="58"/>
    <n v="697"/>
    <n v="3.4626038781163442"/>
    <n v="96.53739612188366"/>
  </r>
  <r>
    <d v="2026-04-18T00:00:00"/>
    <s v="Line C"/>
    <x v="2"/>
    <x v="0"/>
    <x v="4"/>
    <n v="32"/>
    <n v="52"/>
    <n v="684"/>
    <n v="4.4692737430167604"/>
    <n v="95.530726256983243"/>
  </r>
  <r>
    <d v="2026-04-19T00:00:00"/>
    <s v="Line A"/>
    <x v="0"/>
    <x v="0"/>
    <x v="62"/>
    <n v="12"/>
    <n v="90"/>
    <n v="848"/>
    <n v="1.3953488372093019"/>
    <n v="98.604651162790702"/>
  </r>
  <r>
    <d v="2026-04-19T00:00:00"/>
    <s v="Line A"/>
    <x v="1"/>
    <x v="3"/>
    <x v="118"/>
    <n v="12"/>
    <n v="86"/>
    <n v="816"/>
    <n v="1.449275362318841"/>
    <n v="98.550724637681171"/>
  </r>
  <r>
    <d v="2026-04-19T00:00:00"/>
    <s v="Line A"/>
    <x v="2"/>
    <x v="0"/>
    <x v="234"/>
    <n v="21"/>
    <n v="22"/>
    <n v="847"/>
    <n v="2.419354838709677"/>
    <n v="97.58064516129032"/>
  </r>
  <r>
    <d v="2026-04-19T00:00:00"/>
    <s v="Line B"/>
    <x v="0"/>
    <x v="0"/>
    <x v="382"/>
    <n v="22"/>
    <n v="20"/>
    <n v="895"/>
    <n v="2.3991275899672848"/>
    <n v="97.600872410032707"/>
  </r>
  <r>
    <d v="2026-04-19T00:00:00"/>
    <s v="Line B"/>
    <x v="1"/>
    <x v="0"/>
    <x v="46"/>
    <n v="20"/>
    <n v="50"/>
    <n v="810"/>
    <n v="2.4096385542168681"/>
    <n v="97.590361445783131"/>
  </r>
  <r>
    <d v="2026-04-19T00:00:00"/>
    <s v="Line B"/>
    <x v="2"/>
    <x v="3"/>
    <x v="101"/>
    <n v="24"/>
    <n v="49"/>
    <n v="681"/>
    <n v="3.4042553191489362"/>
    <n v="96.595744680851055"/>
  </r>
  <r>
    <d v="2026-04-19T00:00:00"/>
    <s v="Line C"/>
    <x v="0"/>
    <x v="0"/>
    <x v="214"/>
    <n v="28"/>
    <n v="32"/>
    <n v="785"/>
    <n v="3.444034440344403"/>
    <n v="96.555965559655604"/>
  </r>
  <r>
    <d v="2026-04-19T00:00:00"/>
    <s v="Line C"/>
    <x v="1"/>
    <x v="0"/>
    <x v="16"/>
    <n v="25"/>
    <n v="56"/>
    <n v="690"/>
    <n v="3.4965034965034971"/>
    <n v="96.503496503496507"/>
  </r>
  <r>
    <d v="2026-04-19T00:00:00"/>
    <s v="Line C"/>
    <x v="2"/>
    <x v="3"/>
    <x v="161"/>
    <n v="27"/>
    <n v="69"/>
    <n v="587"/>
    <n v="4.3973941368078178"/>
    <n v="95.602605863192181"/>
  </r>
  <r>
    <d v="2026-04-20T00:00:00"/>
    <s v="Line A"/>
    <x v="0"/>
    <x v="2"/>
    <x v="383"/>
    <n v="15"/>
    <n v="24"/>
    <n v="1018"/>
    <n v="1.452081316553727"/>
    <n v="98.547918683446284"/>
  </r>
  <r>
    <d v="2026-04-20T00:00:00"/>
    <s v="Line A"/>
    <x v="1"/>
    <x v="3"/>
    <x v="274"/>
    <n v="13"/>
    <n v="24"/>
    <n v="890"/>
    <n v="1.4396456256921371"/>
    <n v="98.560354374307863"/>
  </r>
  <r>
    <d v="2026-04-20T00:00:00"/>
    <s v="Line A"/>
    <x v="2"/>
    <x v="3"/>
    <x v="54"/>
    <n v="18"/>
    <n v="84"/>
    <n v="718"/>
    <n v="2.445652173913043"/>
    <n v="97.554347826086953"/>
  </r>
  <r>
    <d v="2026-04-20T00:00:00"/>
    <s v="Line B"/>
    <x v="0"/>
    <x v="0"/>
    <x v="368"/>
    <n v="22"/>
    <n v="48"/>
    <n v="894"/>
    <n v="2.4017467248908302"/>
    <n v="97.598253275109172"/>
  </r>
  <r>
    <d v="2026-04-20T00:00:00"/>
    <s v="Line B"/>
    <x v="1"/>
    <x v="3"/>
    <x v="123"/>
    <n v="20"/>
    <n v="26"/>
    <n v="815"/>
    <n v="2.395209580838324"/>
    <n v="97.604790419161674"/>
  </r>
  <r>
    <d v="2026-04-20T00:00:00"/>
    <s v="Line B"/>
    <x v="2"/>
    <x v="0"/>
    <x v="251"/>
    <n v="29"/>
    <n v="21"/>
    <n v="807"/>
    <n v="3.4688995215311"/>
    <n v="96.5311004784689"/>
  </r>
  <r>
    <d v="2026-04-20T00:00:00"/>
    <s v="Line C"/>
    <x v="0"/>
    <x v="1"/>
    <x v="124"/>
    <n v="34"/>
    <n v="5"/>
    <n v="760"/>
    <n v="4.2821158690176322"/>
    <n v="95.71788413098237"/>
  </r>
  <r>
    <d v="2026-04-20T00:00:00"/>
    <s v="Line C"/>
    <x v="1"/>
    <x v="3"/>
    <x v="225"/>
    <n v="26"/>
    <n v="43"/>
    <n v="722"/>
    <n v="3.475935828877005"/>
    <n v="96.524064171122987"/>
  </r>
  <r>
    <d v="2026-04-20T00:00:00"/>
    <s v="Line C"/>
    <x v="2"/>
    <x v="0"/>
    <x v="133"/>
    <n v="32"/>
    <n v="34"/>
    <n v="699"/>
    <n v="4.3775649794801641"/>
    <n v="95.622435020519831"/>
  </r>
  <r>
    <d v="2026-04-21T00:00:00"/>
    <s v="Line A"/>
    <x v="0"/>
    <x v="2"/>
    <x v="66"/>
    <n v="14"/>
    <n v="48"/>
    <n v="967"/>
    <n v="1.427115188583078"/>
    <n v="98.572884811416912"/>
  </r>
  <r>
    <d v="2026-04-21T00:00:00"/>
    <s v="Line A"/>
    <x v="1"/>
    <x v="2"/>
    <x v="298"/>
    <n v="14"/>
    <n v="58"/>
    <n v="956"/>
    <n v="1.4432989690721649"/>
    <n v="98.55670103092784"/>
  </r>
  <r>
    <d v="2026-04-21T00:00:00"/>
    <s v="Line A"/>
    <x v="2"/>
    <x v="2"/>
    <x v="178"/>
    <n v="21"/>
    <n v="82"/>
    <n v="840"/>
    <n v="2.4390243902439019"/>
    <n v="97.560975609756099"/>
  </r>
  <r>
    <d v="2026-04-21T00:00:00"/>
    <s v="Line B"/>
    <x v="0"/>
    <x v="3"/>
    <x v="299"/>
    <n v="19"/>
    <n v="72"/>
    <n v="757"/>
    <n v="2.4484536082474229"/>
    <n v="97.551546391752581"/>
  </r>
  <r>
    <d v="2026-04-21T00:00:00"/>
    <s v="Line B"/>
    <x v="1"/>
    <x v="1"/>
    <x v="264"/>
    <n v="25"/>
    <n v="23"/>
    <n v="762"/>
    <n v="3.1766200762388821"/>
    <n v="96.823379923761124"/>
  </r>
  <r>
    <d v="2026-04-21T00:00:00"/>
    <s v="Line B"/>
    <x v="2"/>
    <x v="2"/>
    <x v="6"/>
    <n v="28"/>
    <n v="51"/>
    <n v="779"/>
    <n v="3.4696406443618342"/>
    <n v="96.530359355638168"/>
  </r>
  <r>
    <d v="2026-04-21T00:00:00"/>
    <s v="Line C"/>
    <x v="0"/>
    <x v="1"/>
    <x v="384"/>
    <n v="28"/>
    <n v="90"/>
    <n v="635"/>
    <n v="4.2232277526395174"/>
    <n v="95.776772247360483"/>
  </r>
  <r>
    <d v="2026-04-21T00:00:00"/>
    <s v="Line C"/>
    <x v="1"/>
    <x v="3"/>
    <x v="302"/>
    <n v="24"/>
    <n v="58"/>
    <n v="675"/>
    <n v="3.433476394849786"/>
    <n v="96.566523605150209"/>
  </r>
  <r>
    <d v="2026-04-21T00:00:00"/>
    <s v="Line C"/>
    <x v="2"/>
    <x v="1"/>
    <x v="385"/>
    <n v="32"/>
    <n v="61"/>
    <n v="578"/>
    <n v="5.2459016393442619"/>
    <n v="94.754098360655732"/>
  </r>
  <r>
    <d v="2026-04-22T00:00:00"/>
    <s v="Line A"/>
    <x v="0"/>
    <x v="1"/>
    <x v="281"/>
    <n v="19"/>
    <n v="30"/>
    <n v="848"/>
    <n v="2.1914648212226071"/>
    <n v="97.80853517877739"/>
  </r>
  <r>
    <d v="2026-04-22T00:00:00"/>
    <s v="Line A"/>
    <x v="1"/>
    <x v="3"/>
    <x v="69"/>
    <n v="11"/>
    <n v="84"/>
    <n v="775"/>
    <n v="1.3994910941475831"/>
    <n v="98.600508905852408"/>
  </r>
  <r>
    <d v="2026-04-22T00:00:00"/>
    <s v="Line A"/>
    <x v="2"/>
    <x v="0"/>
    <x v="18"/>
    <n v="21"/>
    <n v="38"/>
    <n v="832"/>
    <n v="2.4618991793669398"/>
    <n v="97.538100820633062"/>
  </r>
  <r>
    <d v="2026-04-22T00:00:00"/>
    <s v="Line B"/>
    <x v="0"/>
    <x v="1"/>
    <x v="39"/>
    <n v="28"/>
    <n v="10"/>
    <n v="829"/>
    <n v="3.2672112018669779"/>
    <n v="96.732788798133015"/>
  </r>
  <r>
    <d v="2026-04-22T00:00:00"/>
    <s v="Line B"/>
    <x v="1"/>
    <x v="3"/>
    <x v="45"/>
    <n v="20"/>
    <n v="22"/>
    <n v="818"/>
    <n v="2.3866348448687349"/>
    <n v="97.613365155131262"/>
  </r>
  <r>
    <d v="2026-04-22T00:00:00"/>
    <s v="Line B"/>
    <x v="2"/>
    <x v="2"/>
    <x v="14"/>
    <n v="28"/>
    <n v="30"/>
    <n v="786"/>
    <n v="3.4398034398034398"/>
    <n v="96.560196560196559"/>
  </r>
  <r>
    <d v="2026-04-22T00:00:00"/>
    <s v="Line C"/>
    <x v="0"/>
    <x v="2"/>
    <x v="300"/>
    <n v="25"/>
    <n v="84"/>
    <n v="714"/>
    <n v="3.3829499323410008"/>
    <n v="96.617050067658994"/>
  </r>
  <r>
    <d v="2026-04-22T00:00:00"/>
    <s v="Line C"/>
    <x v="1"/>
    <x v="2"/>
    <x v="18"/>
    <n v="29"/>
    <n v="23"/>
    <n v="824"/>
    <n v="3.3997655334114891"/>
    <n v="96.600234466588503"/>
  </r>
  <r>
    <d v="2026-04-22T00:00:00"/>
    <s v="Line C"/>
    <x v="2"/>
    <x v="1"/>
    <x v="161"/>
    <n v="32"/>
    <n v="41"/>
    <n v="582"/>
    <n v="5.2117263843648214"/>
    <n v="94.788273615635177"/>
  </r>
  <r>
    <d v="2026-04-23T00:00:00"/>
    <s v="Line A"/>
    <x v="0"/>
    <x v="2"/>
    <x v="136"/>
    <n v="15"/>
    <n v="48"/>
    <n v="988"/>
    <n v="1.495513459621137"/>
    <n v="98.504486540378863"/>
  </r>
  <r>
    <d v="2026-04-23T00:00:00"/>
    <s v="Line A"/>
    <x v="1"/>
    <x v="2"/>
    <x v="100"/>
    <n v="14"/>
    <n v="36"/>
    <n v="945"/>
    <n v="1.4598540145985399"/>
    <n v="98.540145985401466"/>
  </r>
  <r>
    <d v="2026-04-23T00:00:00"/>
    <s v="Line A"/>
    <x v="2"/>
    <x v="0"/>
    <x v="12"/>
    <n v="20"/>
    <n v="90"/>
    <n v="788"/>
    <n v="2.4752475247524748"/>
    <n v="97.524752475247524"/>
  </r>
  <r>
    <d v="2026-04-23T00:00:00"/>
    <s v="Line B"/>
    <x v="0"/>
    <x v="2"/>
    <x v="354"/>
    <n v="24"/>
    <n v="46"/>
    <n v="944"/>
    <n v="2.4793388429752068"/>
    <n v="97.52066115702479"/>
  </r>
  <r>
    <d v="2026-04-23T00:00:00"/>
    <s v="Line B"/>
    <x v="1"/>
    <x v="0"/>
    <x v="124"/>
    <n v="19"/>
    <n v="56"/>
    <n v="775"/>
    <n v="2.3929471032745591"/>
    <n v="97.607052896725449"/>
  </r>
  <r>
    <d v="2026-04-23T00:00:00"/>
    <s v="Line B"/>
    <x v="2"/>
    <x v="0"/>
    <x v="83"/>
    <n v="27"/>
    <n v="62"/>
    <n v="751"/>
    <n v="3.4704370179948589"/>
    <n v="96.529562982005146"/>
  </r>
  <r>
    <d v="2026-04-23T00:00:00"/>
    <s v="Line C"/>
    <x v="0"/>
    <x v="1"/>
    <x v="210"/>
    <n v="29"/>
    <n v="35"/>
    <n v="660"/>
    <n v="4.2089985486211896"/>
    <n v="95.791001451378804"/>
  </r>
  <r>
    <d v="2026-04-23T00:00:00"/>
    <s v="Line C"/>
    <x v="1"/>
    <x v="2"/>
    <x v="343"/>
    <n v="29"/>
    <n v="10"/>
    <n v="803"/>
    <n v="3.4855769230769229"/>
    <n v="96.514423076923066"/>
  </r>
  <r>
    <d v="2026-04-23T00:00:00"/>
    <s v="Line C"/>
    <x v="2"/>
    <x v="1"/>
    <x v="261"/>
    <n v="34"/>
    <n v="29"/>
    <n v="622"/>
    <n v="5.1829268292682924"/>
    <n v="94.817073170731703"/>
  </r>
  <r>
    <d v="2026-04-24T00:00:00"/>
    <s v="Line A"/>
    <x v="0"/>
    <x v="3"/>
    <x v="212"/>
    <n v="15"/>
    <n v="1"/>
    <n v="994"/>
    <n v="1.486620416253716"/>
    <n v="98.513379583746286"/>
  </r>
  <r>
    <d v="2026-04-24T00:00:00"/>
    <s v="Line A"/>
    <x v="1"/>
    <x v="1"/>
    <x v="125"/>
    <n v="16"/>
    <n v="79"/>
    <n v="721"/>
    <n v="2.1709633649932161"/>
    <n v="97.829036635006787"/>
  </r>
  <r>
    <d v="2026-04-24T00:00:00"/>
    <s v="Line A"/>
    <x v="2"/>
    <x v="3"/>
    <x v="69"/>
    <n v="19"/>
    <n v="62"/>
    <n v="767"/>
    <n v="2.4173027989821878"/>
    <n v="97.582697201017808"/>
  </r>
  <r>
    <d v="2026-04-24T00:00:00"/>
    <s v="Line B"/>
    <x v="0"/>
    <x v="3"/>
    <x v="39"/>
    <n v="21"/>
    <n v="36"/>
    <n v="836"/>
    <n v="2.450408401400233"/>
    <n v="97.549591598599775"/>
  </r>
  <r>
    <d v="2026-04-24T00:00:00"/>
    <s v="Line B"/>
    <x v="1"/>
    <x v="2"/>
    <x v="132"/>
    <n v="22"/>
    <n v="44"/>
    <n v="875"/>
    <n v="2.4526198439241922"/>
    <n v="97.547380156075818"/>
  </r>
  <r>
    <d v="2026-04-24T00:00:00"/>
    <s v="Line B"/>
    <x v="2"/>
    <x v="0"/>
    <x v="24"/>
    <n v="26"/>
    <n v="59"/>
    <n v="724"/>
    <n v="3.4666666666666659"/>
    <n v="96.533333333333331"/>
  </r>
  <r>
    <d v="2026-04-24T00:00:00"/>
    <s v="Line C"/>
    <x v="0"/>
    <x v="2"/>
    <x v="48"/>
    <n v="26"/>
    <n v="90"/>
    <n v="740"/>
    <n v="3.3942558746736302"/>
    <n v="96.605744125326382"/>
  </r>
  <r>
    <d v="2026-04-24T00:00:00"/>
    <s v="Line C"/>
    <x v="1"/>
    <x v="2"/>
    <x v="204"/>
    <n v="30"/>
    <n v="12"/>
    <n v="832"/>
    <n v="3.4802784222737819"/>
    <n v="96.519721577726216"/>
  </r>
  <r>
    <d v="2026-04-24T00:00:00"/>
    <s v="Line C"/>
    <x v="2"/>
    <x v="1"/>
    <x v="211"/>
    <n v="34"/>
    <n v="50"/>
    <n v="613"/>
    <n v="5.2550231839258119"/>
    <n v="94.744976816074185"/>
  </r>
  <r>
    <d v="2026-04-25T00:00:00"/>
    <s v="Line A"/>
    <x v="0"/>
    <x v="0"/>
    <x v="272"/>
    <n v="13"/>
    <n v="63"/>
    <n v="900"/>
    <n v="1.4238773274917851"/>
    <n v="98.57612267250822"/>
  </r>
  <r>
    <d v="2026-04-25T00:00:00"/>
    <s v="Line A"/>
    <x v="1"/>
    <x v="1"/>
    <x v="93"/>
    <n v="18"/>
    <n v="26"/>
    <n v="799"/>
    <n v="2.203182374541004"/>
    <n v="97.796817625458999"/>
  </r>
  <r>
    <d v="2026-04-25T00:00:00"/>
    <s v="Line A"/>
    <x v="2"/>
    <x v="3"/>
    <x v="238"/>
    <n v="21"/>
    <n v="2"/>
    <n v="830"/>
    <n v="2.4676850763807279"/>
    <n v="97.532314923619268"/>
  </r>
  <r>
    <d v="2026-04-25T00:00:00"/>
    <s v="Line B"/>
    <x v="0"/>
    <x v="0"/>
    <x v="386"/>
    <n v="23"/>
    <n v="22"/>
    <n v="912"/>
    <n v="2.4598930481283419"/>
    <n v="97.54010695187165"/>
  </r>
  <r>
    <d v="2026-04-25T00:00:00"/>
    <s v="Line B"/>
    <x v="1"/>
    <x v="3"/>
    <x v="226"/>
    <n v="17"/>
    <n v="71"/>
    <n v="701"/>
    <n v="2.3676880222841219"/>
    <n v="97.632311977715887"/>
  </r>
  <r>
    <d v="2026-04-25T00:00:00"/>
    <s v="Line B"/>
    <x v="2"/>
    <x v="0"/>
    <x v="77"/>
    <n v="27"/>
    <n v="4"/>
    <n v="772"/>
    <n v="3.3792240300375469"/>
    <n v="96.620775969962452"/>
  </r>
  <r>
    <d v="2026-04-25T00:00:00"/>
    <s v="Line C"/>
    <x v="0"/>
    <x v="1"/>
    <x v="69"/>
    <n v="33"/>
    <n v="11"/>
    <n v="753"/>
    <n v="4.1984732824427482"/>
    <n v="95.801526717557252"/>
  </r>
  <r>
    <d v="2026-04-25T00:00:00"/>
    <s v="Line C"/>
    <x v="1"/>
    <x v="0"/>
    <x v="70"/>
    <n v="24"/>
    <n v="60"/>
    <n v="689"/>
    <n v="3.366058906030855"/>
    <n v="96.633941093969142"/>
  </r>
  <r>
    <d v="2026-04-25T00:00:00"/>
    <s v="Line C"/>
    <x v="2"/>
    <x v="2"/>
    <x v="176"/>
    <n v="31"/>
    <n v="59"/>
    <n v="679"/>
    <n v="4.3661971830985911"/>
    <n v="95.633802816901408"/>
  </r>
  <r>
    <d v="2026-04-26T00:00:00"/>
    <s v="Line A"/>
    <x v="0"/>
    <x v="0"/>
    <x v="198"/>
    <n v="14"/>
    <n v="50"/>
    <n v="957"/>
    <n v="1.441812564366632"/>
    <n v="98.558187435633371"/>
  </r>
  <r>
    <d v="2026-04-26T00:00:00"/>
    <s v="Line A"/>
    <x v="1"/>
    <x v="2"/>
    <x v="52"/>
    <n v="14"/>
    <n v="80"/>
    <n v="934"/>
    <n v="1.4767932489451481"/>
    <n v="98.523206751054843"/>
  </r>
  <r>
    <d v="2026-04-26T00:00:00"/>
    <s v="Line A"/>
    <x v="2"/>
    <x v="0"/>
    <x v="294"/>
    <n v="19"/>
    <n v="57"/>
    <n v="774"/>
    <n v="2.3959646910466579"/>
    <n v="97.604035308953343"/>
  </r>
  <r>
    <d v="2026-04-26T00:00:00"/>
    <s v="Line B"/>
    <x v="0"/>
    <x v="3"/>
    <x v="46"/>
    <n v="20"/>
    <n v="70"/>
    <n v="810"/>
    <n v="2.4096385542168681"/>
    <n v="97.590361445783131"/>
  </r>
  <r>
    <d v="2026-04-26T00:00:00"/>
    <s v="Line B"/>
    <x v="1"/>
    <x v="0"/>
    <x v="71"/>
    <n v="18"/>
    <n v="78"/>
    <n v="734"/>
    <n v="2.3936170212765959"/>
    <n v="97.606382978723403"/>
  </r>
  <r>
    <d v="2026-04-26T00:00:00"/>
    <s v="Line B"/>
    <x v="2"/>
    <x v="0"/>
    <x v="15"/>
    <n v="26"/>
    <n v="42"/>
    <n v="718"/>
    <n v="3.4946236559139781"/>
    <n v="96.505376344086031"/>
  </r>
  <r>
    <d v="2026-04-26T00:00:00"/>
    <s v="Line C"/>
    <x v="0"/>
    <x v="0"/>
    <x v="218"/>
    <n v="29"/>
    <n v="2"/>
    <n v="804"/>
    <n v="3.4813925570228088"/>
    <n v="96.518607442977185"/>
  </r>
  <r>
    <d v="2026-04-26T00:00:00"/>
    <s v="Line C"/>
    <x v="1"/>
    <x v="3"/>
    <x v="235"/>
    <n v="23"/>
    <n v="88"/>
    <n v="641"/>
    <n v="3.463855421686747"/>
    <n v="96.536144578313255"/>
  </r>
  <r>
    <d v="2026-04-26T00:00:00"/>
    <s v="Line C"/>
    <x v="2"/>
    <x v="1"/>
    <x v="79"/>
    <n v="35"/>
    <n v="30"/>
    <n v="627"/>
    <n v="5.287009063444108"/>
    <n v="94.712990936555897"/>
  </r>
  <r>
    <d v="2026-04-27T00:00:00"/>
    <s v="Line A"/>
    <x v="0"/>
    <x v="2"/>
    <x v="387"/>
    <n v="16"/>
    <n v="22"/>
    <n v="1055"/>
    <n v="1.493930905695612"/>
    <n v="98.506069094304394"/>
  </r>
  <r>
    <d v="2026-04-27T00:00:00"/>
    <s v="Line A"/>
    <x v="1"/>
    <x v="0"/>
    <x v="170"/>
    <n v="14"/>
    <n v="32"/>
    <n v="960"/>
    <n v="1.4373716632443529"/>
    <n v="98.562628336755637"/>
  </r>
  <r>
    <d v="2026-04-27T00:00:00"/>
    <s v="Line A"/>
    <x v="2"/>
    <x v="0"/>
    <x v="126"/>
    <n v="20"/>
    <n v="49"/>
    <n v="801"/>
    <n v="2.4360535931790501"/>
    <n v="97.563946406820946"/>
  </r>
  <r>
    <d v="2026-04-27T00:00:00"/>
    <s v="Line B"/>
    <x v="0"/>
    <x v="2"/>
    <x v="104"/>
    <n v="21"/>
    <n v="69"/>
    <n v="857"/>
    <n v="2.391799544419134"/>
    <n v="97.608200455580857"/>
  </r>
  <r>
    <d v="2026-04-27T00:00:00"/>
    <s v="Line B"/>
    <x v="1"/>
    <x v="2"/>
    <x v="244"/>
    <n v="21"/>
    <n v="83"/>
    <n v="831"/>
    <n v="2.464788732394366"/>
    <n v="97.535211267605632"/>
  </r>
  <r>
    <d v="2026-04-27T00:00:00"/>
    <s v="Line B"/>
    <x v="2"/>
    <x v="1"/>
    <x v="311"/>
    <n v="31"/>
    <n v="15"/>
    <n v="703"/>
    <n v="4.223433242506812"/>
    <n v="95.776566757493185"/>
  </r>
  <r>
    <d v="2026-04-27T00:00:00"/>
    <s v="Line C"/>
    <x v="0"/>
    <x v="3"/>
    <x v="86"/>
    <n v="27"/>
    <n v="29"/>
    <n v="763"/>
    <n v="3.4177215189873422"/>
    <n v="96.582278481012665"/>
  </r>
  <r>
    <d v="2026-04-27T00:00:00"/>
    <s v="Line C"/>
    <x v="1"/>
    <x v="1"/>
    <x v="388"/>
    <n v="29"/>
    <n v="11"/>
    <n v="661"/>
    <n v="4.2028985507246377"/>
    <n v="95.79710144927536"/>
  </r>
  <r>
    <d v="2026-04-27T00:00:00"/>
    <s v="Line C"/>
    <x v="2"/>
    <x v="3"/>
    <x v="389"/>
    <n v="30"/>
    <n v="36"/>
    <n v="639"/>
    <n v="4.4843049327354256"/>
    <n v="95.515695067264573"/>
  </r>
  <r>
    <d v="2026-04-28T00:00:00"/>
    <s v="Line A"/>
    <x v="0"/>
    <x v="0"/>
    <x v="313"/>
    <n v="14"/>
    <n v="51"/>
    <n v="963"/>
    <n v="1.432958034800409"/>
    <n v="98.567041965199593"/>
  </r>
  <r>
    <d v="2026-04-28T00:00:00"/>
    <s v="Line A"/>
    <x v="1"/>
    <x v="1"/>
    <x v="39"/>
    <n v="19"/>
    <n v="16"/>
    <n v="838"/>
    <n v="2.2170361726954488"/>
    <n v="97.782963827304542"/>
  </r>
  <r>
    <d v="2026-04-28T00:00:00"/>
    <s v="Line A"/>
    <x v="2"/>
    <x v="2"/>
    <x v="154"/>
    <n v="21"/>
    <n v="73"/>
    <n v="837"/>
    <n v="2.4475524475524471"/>
    <n v="97.552447552447546"/>
  </r>
  <r>
    <d v="2026-04-28T00:00:00"/>
    <s v="Line B"/>
    <x v="0"/>
    <x v="2"/>
    <x v="390"/>
    <n v="23"/>
    <n v="56"/>
    <n v="899"/>
    <n v="2.4945770065075918"/>
    <n v="97.505422993492402"/>
  </r>
  <r>
    <d v="2026-04-28T00:00:00"/>
    <s v="Line B"/>
    <x v="1"/>
    <x v="3"/>
    <x v="49"/>
    <n v="18"/>
    <n v="88"/>
    <n v="706"/>
    <n v="2.4861878453038671"/>
    <n v="97.51381215469614"/>
  </r>
  <r>
    <d v="2026-04-28T00:00:00"/>
    <s v="Line B"/>
    <x v="2"/>
    <x v="3"/>
    <x v="308"/>
    <n v="25"/>
    <n v="9"/>
    <n v="717"/>
    <n v="3.3692722371967649"/>
    <n v="96.630727762803232"/>
  </r>
  <r>
    <d v="2026-04-28T00:00:00"/>
    <s v="Line C"/>
    <x v="0"/>
    <x v="3"/>
    <x v="254"/>
    <n v="26"/>
    <n v="58"/>
    <n v="733"/>
    <n v="3.4255599472990781"/>
    <n v="96.574440052700922"/>
  </r>
  <r>
    <d v="2026-04-28T00:00:00"/>
    <s v="Line C"/>
    <x v="1"/>
    <x v="1"/>
    <x v="346"/>
    <n v="29"/>
    <n v="50"/>
    <n v="649"/>
    <n v="4.277286135693215"/>
    <n v="95.722713864306783"/>
  </r>
  <r>
    <d v="2026-04-29T00:00:00"/>
    <s v="Line A"/>
    <x v="0"/>
    <x v="1"/>
    <x v="81"/>
    <n v="21"/>
    <n v="10"/>
    <n v="933"/>
    <n v="2.2012578616352201"/>
    <n v="97.798742138364787"/>
  </r>
  <r>
    <d v="2026-04-29T00:00:00"/>
    <s v="Line A"/>
    <x v="1"/>
    <x v="1"/>
    <x v="122"/>
    <n v="20"/>
    <n v="40"/>
    <n v="850"/>
    <n v="2.298850574712644"/>
    <n v="97.701149425287355"/>
  </r>
  <r>
    <d v="2026-04-29T00:00:00"/>
    <s v="Line A"/>
    <x v="2"/>
    <x v="1"/>
    <x v="18"/>
    <n v="28"/>
    <n v="1"/>
    <n v="825"/>
    <n v="3.2825322391559211"/>
    <n v="96.717467760844073"/>
  </r>
  <r>
    <d v="2026-04-29T00:00:00"/>
    <s v="Line B"/>
    <x v="0"/>
    <x v="3"/>
    <x v="46"/>
    <n v="20"/>
    <n v="46"/>
    <n v="810"/>
    <n v="2.4096385542168681"/>
    <n v="97.590361445783131"/>
  </r>
  <r>
    <d v="2026-04-29T00:00:00"/>
    <s v="Line B"/>
    <x v="1"/>
    <x v="0"/>
    <x v="250"/>
    <n v="19"/>
    <n v="87"/>
    <n v="762"/>
    <n v="2.432778489116517"/>
    <n v="97.567221510883485"/>
  </r>
  <r>
    <d v="2026-04-29T00:00:00"/>
    <s v="Line B"/>
    <x v="2"/>
    <x v="3"/>
    <x v="14"/>
    <n v="28"/>
    <n v="5"/>
    <n v="786"/>
    <n v="3.4398034398034398"/>
    <n v="96.560196560196559"/>
  </r>
  <r>
    <d v="2026-04-29T00:00:00"/>
    <s v="Line C"/>
    <x v="0"/>
    <x v="1"/>
    <x v="146"/>
    <n v="29"/>
    <n v="67"/>
    <n v="663"/>
    <n v="4.1907514450867049"/>
    <n v="95.809248554913296"/>
  </r>
  <r>
    <d v="2026-04-29T00:00:00"/>
    <s v="Line C"/>
    <x v="1"/>
    <x v="3"/>
    <x v="228"/>
    <n v="24"/>
    <n v="61"/>
    <n v="677"/>
    <n v="3.4236804564907271"/>
    <n v="96.576319543509271"/>
  </r>
  <r>
    <d v="2026-04-29T00:00:00"/>
    <s v="Line C"/>
    <x v="2"/>
    <x v="1"/>
    <x v="161"/>
    <n v="32"/>
    <n v="31"/>
    <n v="582"/>
    <n v="5.2117263843648214"/>
    <n v="94.788273615635177"/>
  </r>
  <r>
    <d v="2026-04-30T00:00:00"/>
    <s v="Line A"/>
    <x v="0"/>
    <x v="2"/>
    <x v="391"/>
    <n v="14"/>
    <n v="75"/>
    <n v="922"/>
    <n v="1.495726495726496"/>
    <n v="98.504273504273513"/>
  </r>
  <r>
    <d v="2026-04-30T00:00:00"/>
    <s v="Line A"/>
    <x v="1"/>
    <x v="3"/>
    <x v="297"/>
    <n v="12"/>
    <n v="53"/>
    <n v="843"/>
    <n v="1.403508771929824"/>
    <n v="98.596491228070164"/>
  </r>
  <r>
    <d v="2026-04-30T00:00:00"/>
    <s v="Line A"/>
    <x v="2"/>
    <x v="3"/>
    <x v="160"/>
    <n v="20"/>
    <n v="62"/>
    <n v="782"/>
    <n v="2.4937655860349128"/>
    <n v="97.506234413965089"/>
  </r>
  <r>
    <d v="2026-04-30T00:00:00"/>
    <s v="Line B"/>
    <x v="0"/>
    <x v="1"/>
    <x v="80"/>
    <n v="26"/>
    <n v="34"/>
    <n v="780"/>
    <n v="3.225806451612903"/>
    <n v="96.774193548387103"/>
  </r>
  <r>
    <d v="2026-04-30T00:00:00"/>
    <s v="Line A"/>
    <x v="1"/>
    <x v="1"/>
    <x v="176"/>
    <n v="23"/>
    <n v="68"/>
    <n v="687"/>
    <n v="3.23943661971831"/>
    <n v="96.760563380281695"/>
  </r>
  <r>
    <d v="2026-04-30T00:00:00"/>
    <s v="Line B"/>
    <x v="2"/>
    <x v="3"/>
    <x v="124"/>
    <n v="27"/>
    <n v="24"/>
    <n v="767"/>
    <n v="3.4005037783375318"/>
    <n v="96.599496221662477"/>
  </r>
  <r>
    <d v="2026-04-30T00:00:00"/>
    <s v="Line C"/>
    <x v="0"/>
    <x v="3"/>
    <x v="176"/>
    <n v="24"/>
    <n v="81"/>
    <n v="686"/>
    <n v="3.380281690140845"/>
    <n v="96.619718309859167"/>
  </r>
  <r>
    <d v="2026-04-30T00:00:00"/>
    <s v="Line C"/>
    <x v="1"/>
    <x v="1"/>
    <x v="113"/>
    <n v="27"/>
    <n v="81"/>
    <n v="618"/>
    <n v="4.1860465116279073"/>
    <n v="95.813953488372093"/>
  </r>
  <r>
    <d v="2026-04-30T00:00:00"/>
    <s v="Line C"/>
    <x v="2"/>
    <x v="2"/>
    <x v="189"/>
    <n v="35"/>
    <n v="19"/>
    <n v="744"/>
    <n v="4.4929396662387679"/>
    <n v="95.507060333761231"/>
  </r>
  <r>
    <d v="2026-05-01T00:00:00"/>
    <s v="Line A"/>
    <x v="0"/>
    <x v="0"/>
    <x v="246"/>
    <n v="14"/>
    <n v="38"/>
    <n v="925"/>
    <n v="1.490947816826411"/>
    <n v="98.50905218317358"/>
  </r>
  <r>
    <d v="2026-05-01T00:00:00"/>
    <s v="Line A"/>
    <x v="1"/>
    <x v="0"/>
    <x v="392"/>
    <n v="13"/>
    <n v="31"/>
    <n v="915"/>
    <n v="1.4008620689655169"/>
    <n v="98.599137931034491"/>
  </r>
  <r>
    <d v="2026-05-01T00:00:00"/>
    <s v="Line A"/>
    <x v="2"/>
    <x v="1"/>
    <x v="258"/>
    <n v="27"/>
    <n v="19"/>
    <n v="797"/>
    <n v="3.2766990291262141"/>
    <n v="96.72330097087378"/>
  </r>
  <r>
    <d v="2026-05-01T00:00:00"/>
    <s v="Line B"/>
    <x v="0"/>
    <x v="2"/>
    <x v="382"/>
    <n v="22"/>
    <n v="31"/>
    <n v="895"/>
    <n v="2.3991275899672848"/>
    <n v="97.600872410032707"/>
  </r>
  <r>
    <d v="2026-05-01T00:00:00"/>
    <s v="Line B"/>
    <x v="1"/>
    <x v="3"/>
    <x v="18"/>
    <n v="21"/>
    <n v="6"/>
    <n v="832"/>
    <n v="2.4618991793669398"/>
    <n v="97.538100820633062"/>
  </r>
  <r>
    <d v="2026-05-01T00:00:00"/>
    <s v="Line B"/>
    <x v="2"/>
    <x v="3"/>
    <x v="83"/>
    <n v="27"/>
    <n v="12"/>
    <n v="751"/>
    <n v="3.4704370179948589"/>
    <n v="96.529562982005146"/>
  </r>
  <r>
    <d v="2026-05-01T00:00:00"/>
    <s v="Line C"/>
    <x v="0"/>
    <x v="0"/>
    <x v="311"/>
    <n v="25"/>
    <n v="88"/>
    <n v="709"/>
    <n v="3.4059945504087201"/>
    <n v="96.594005449591279"/>
  </r>
  <r>
    <d v="2026-05-01T00:00:00"/>
    <s v="Line C"/>
    <x v="1"/>
    <x v="1"/>
    <x v="304"/>
    <n v="30"/>
    <n v="33"/>
    <n v="676"/>
    <n v="4.2492917847025504"/>
    <n v="95.75070821529745"/>
  </r>
  <r>
    <d v="2026-05-01T00:00:00"/>
    <s v="Line C"/>
    <x v="2"/>
    <x v="2"/>
    <x v="284"/>
    <n v="34"/>
    <n v="19"/>
    <n v="724"/>
    <n v="4.4854881266490763"/>
    <n v="95.514511873350926"/>
  </r>
  <r>
    <d v="2026-05-02T00:00:00"/>
    <s v="Line A"/>
    <x v="0"/>
    <x v="2"/>
    <x v="393"/>
    <n v="16"/>
    <n v="12"/>
    <n v="1087"/>
    <n v="1.450589301903898"/>
    <n v="98.549410698096096"/>
  </r>
  <r>
    <d v="2026-05-02T00:00:00"/>
    <s v="Line A"/>
    <x v="1"/>
    <x v="1"/>
    <x v="142"/>
    <n v="21"/>
    <n v="5"/>
    <n v="903"/>
    <n v="2.2727272727272729"/>
    <n v="97.727272727272734"/>
  </r>
  <r>
    <d v="2026-05-02T00:00:00"/>
    <s v="Line A"/>
    <x v="2"/>
    <x v="3"/>
    <x v="189"/>
    <n v="19"/>
    <n v="75"/>
    <n v="760"/>
    <n v="2.4390243902439019"/>
    <n v="97.560975609756099"/>
  </r>
  <r>
    <d v="2026-05-02T00:00:00"/>
    <s v="Line B"/>
    <x v="0"/>
    <x v="2"/>
    <x v="369"/>
    <n v="25"/>
    <n v="11"/>
    <n v="992"/>
    <n v="2.458210422812193"/>
    <n v="97.541789577187814"/>
  </r>
  <r>
    <d v="2026-05-02T00:00:00"/>
    <s v="Line B"/>
    <x v="1"/>
    <x v="0"/>
    <x v="69"/>
    <n v="19"/>
    <n v="76"/>
    <n v="767"/>
    <n v="2.4173027989821878"/>
    <n v="97.582697201017808"/>
  </r>
  <r>
    <d v="2026-05-02T00:00:00"/>
    <s v="Line B"/>
    <x v="2"/>
    <x v="0"/>
    <x v="78"/>
    <n v="28"/>
    <n v="40"/>
    <n v="787"/>
    <n v="3.4355828220858902"/>
    <n v="96.564417177914109"/>
  </r>
  <r>
    <d v="2026-05-02T00:00:00"/>
    <s v="Line C"/>
    <x v="0"/>
    <x v="0"/>
    <x v="304"/>
    <n v="24"/>
    <n v="88"/>
    <n v="682"/>
    <n v="3.3994334277620402"/>
    <n v="96.600566572237952"/>
  </r>
  <r>
    <d v="2026-05-02T00:00:00"/>
    <s v="Line C"/>
    <x v="1"/>
    <x v="3"/>
    <x v="341"/>
    <n v="22"/>
    <n v="87"/>
    <n v="627"/>
    <n v="3.3898305084745761"/>
    <n v="96.610169491525426"/>
  </r>
  <r>
    <d v="2026-05-02T00:00:00"/>
    <s v="Line C"/>
    <x v="2"/>
    <x v="3"/>
    <x v="240"/>
    <n v="30"/>
    <n v="18"/>
    <n v="658"/>
    <n v="4.3604651162790704"/>
    <n v="95.639534883720927"/>
  </r>
  <r>
    <d v="2026-05-03T00:00:00"/>
    <s v="Line A"/>
    <x v="0"/>
    <x v="3"/>
    <x v="104"/>
    <n v="13"/>
    <n v="73"/>
    <n v="865"/>
    <n v="1.480637813211845"/>
    <n v="98.519362186788157"/>
  </r>
  <r>
    <d v="2026-05-03T00:00:00"/>
    <s v="Line A"/>
    <x v="1"/>
    <x v="3"/>
    <x v="164"/>
    <n v="12"/>
    <n v="68"/>
    <n v="808"/>
    <n v="1.4634146341463421"/>
    <n v="98.536585365853654"/>
  </r>
  <r>
    <d v="2026-05-03T00:00:00"/>
    <s v="Line A"/>
    <x v="2"/>
    <x v="3"/>
    <x v="201"/>
    <n v="20"/>
    <n v="38"/>
    <n v="803"/>
    <n v="2.4301336573511541"/>
    <n v="97.569866342648851"/>
  </r>
  <r>
    <d v="2026-05-03T00:00:00"/>
    <s v="Line B"/>
    <x v="0"/>
    <x v="3"/>
    <x v="86"/>
    <n v="19"/>
    <n v="89"/>
    <n v="771"/>
    <n v="2.40506329113924"/>
    <n v="97.594936708860757"/>
  </r>
  <r>
    <d v="2026-05-03T00:00:00"/>
    <s v="Line B"/>
    <x v="1"/>
    <x v="3"/>
    <x v="31"/>
    <n v="19"/>
    <n v="57"/>
    <n v="773"/>
    <n v="2.3989898989898988"/>
    <n v="97.601010101010104"/>
  </r>
  <r>
    <d v="2026-05-03T00:00:00"/>
    <s v="Line B"/>
    <x v="2"/>
    <x v="2"/>
    <x v="167"/>
    <n v="26"/>
    <n v="76"/>
    <n v="745"/>
    <n v="3.3722438391699092"/>
    <n v="96.627756160830089"/>
  </r>
  <r>
    <d v="2026-05-03T00:00:00"/>
    <s v="Line C"/>
    <x v="0"/>
    <x v="2"/>
    <x v="244"/>
    <n v="29"/>
    <n v="44"/>
    <n v="823"/>
    <n v="3.403755868544601"/>
    <n v="96.596244131455393"/>
  </r>
  <r>
    <d v="2026-05-03T00:00:00"/>
    <s v="Line C"/>
    <x v="1"/>
    <x v="2"/>
    <x v="311"/>
    <n v="25"/>
    <n v="79"/>
    <n v="709"/>
    <n v="3.4059945504087201"/>
    <n v="96.594005449591279"/>
  </r>
  <r>
    <d v="2026-05-03T00:00:00"/>
    <s v="Line C"/>
    <x v="2"/>
    <x v="2"/>
    <x v="49"/>
    <n v="32"/>
    <n v="31"/>
    <n v="692"/>
    <n v="4.4198895027624303"/>
    <n v="95.58011049723757"/>
  </r>
  <r>
    <d v="2026-05-04T00:00:00"/>
    <s v="Line A"/>
    <x v="0"/>
    <x v="1"/>
    <x v="394"/>
    <n v="20"/>
    <n v="59"/>
    <n v="853"/>
    <n v="2.2909507445589918"/>
    <n v="97.709049255441002"/>
  </r>
  <r>
    <d v="2026-05-04T00:00:00"/>
    <s v="Line A"/>
    <x v="1"/>
    <x v="1"/>
    <x v="11"/>
    <n v="18"/>
    <n v="30"/>
    <n v="800"/>
    <n v="2.2004889975550119"/>
    <n v="97.799511002444987"/>
  </r>
  <r>
    <d v="2026-05-04T00:00:00"/>
    <s v="Line A"/>
    <x v="2"/>
    <x v="3"/>
    <x v="82"/>
    <n v="20"/>
    <n v="43"/>
    <n v="792"/>
    <n v="2.4630541871921179"/>
    <n v="97.536945812807886"/>
  </r>
  <r>
    <d v="2026-05-04T00:00:00"/>
    <s v="Line B"/>
    <x v="0"/>
    <x v="3"/>
    <x v="149"/>
    <n v="21"/>
    <n v="40"/>
    <n v="843"/>
    <n v="2.4305555555555558"/>
    <n v="97.569444444444443"/>
  </r>
  <r>
    <d v="2026-05-04T00:00:00"/>
    <s v="Line B"/>
    <x v="1"/>
    <x v="3"/>
    <x v="30"/>
    <n v="18"/>
    <n v="46"/>
    <n v="739"/>
    <n v="2.3778071334213999"/>
    <n v="97.622192866578601"/>
  </r>
  <r>
    <d v="2026-05-04T00:00:00"/>
    <s v="Line B"/>
    <x v="2"/>
    <x v="0"/>
    <x v="54"/>
    <n v="25"/>
    <n v="73"/>
    <n v="711"/>
    <n v="3.3967391304347818"/>
    <n v="96.603260869565219"/>
  </r>
  <r>
    <d v="2026-05-04T00:00:00"/>
    <s v="Line C"/>
    <x v="0"/>
    <x v="2"/>
    <x v="126"/>
    <n v="28"/>
    <n v="58"/>
    <n v="793"/>
    <n v="3.4104750304506699"/>
    <n v="96.589524969549331"/>
  </r>
  <r>
    <d v="2026-05-04T00:00:00"/>
    <s v="Line C"/>
    <x v="1"/>
    <x v="3"/>
    <x v="2"/>
    <n v="26"/>
    <n v="1"/>
    <n v="720"/>
    <n v="3.4852546916890081"/>
    <n v="96.514745308310992"/>
  </r>
  <r>
    <d v="2026-05-04T00:00:00"/>
    <s v="Line C"/>
    <x v="2"/>
    <x v="0"/>
    <x v="171"/>
    <n v="30"/>
    <n v="46"/>
    <n v="654"/>
    <n v="4.3859649122807012"/>
    <n v="95.614035087719301"/>
  </r>
  <r>
    <d v="2026-05-05T00:00:00"/>
    <s v="Line A"/>
    <x v="0"/>
    <x v="2"/>
    <x v="310"/>
    <n v="14"/>
    <n v="69"/>
    <n v="952"/>
    <n v="1.449275362318841"/>
    <n v="98.550724637681171"/>
  </r>
  <r>
    <d v="2026-05-05T00:00:00"/>
    <s v="Line A"/>
    <x v="1"/>
    <x v="1"/>
    <x v="200"/>
    <n v="18"/>
    <n v="50"/>
    <n v="773"/>
    <n v="2.2756005056890012"/>
    <n v="97.724399494311001"/>
  </r>
  <r>
    <d v="2026-05-05T00:00:00"/>
    <s v="Line A"/>
    <x v="2"/>
    <x v="3"/>
    <x v="214"/>
    <n v="20"/>
    <n v="40"/>
    <n v="793"/>
    <n v="2.460024600246002"/>
    <n v="97.539975399753999"/>
  </r>
  <r>
    <d v="2026-05-05T00:00:00"/>
    <s v="Line B"/>
    <x v="0"/>
    <x v="3"/>
    <x v="15"/>
    <n v="18"/>
    <n v="90"/>
    <n v="726"/>
    <n v="2.419354838709677"/>
    <n v="97.58064516129032"/>
  </r>
  <r>
    <d v="2026-05-05T00:00:00"/>
    <s v="Line B"/>
    <x v="1"/>
    <x v="1"/>
    <x v="207"/>
    <n v="22"/>
    <n v="76"/>
    <n v="665"/>
    <n v="3.2023289665211059"/>
    <n v="96.797671033478892"/>
  </r>
  <r>
    <d v="2026-05-05T00:00:00"/>
    <s v="Line B"/>
    <x v="2"/>
    <x v="2"/>
    <x v="71"/>
    <n v="26"/>
    <n v="73"/>
    <n v="726"/>
    <n v="3.457446808510638"/>
    <n v="96.542553191489361"/>
  </r>
  <r>
    <d v="2026-05-05T00:00:00"/>
    <s v="Line C"/>
    <x v="0"/>
    <x v="3"/>
    <x v="24"/>
    <n v="26"/>
    <n v="32"/>
    <n v="724"/>
    <n v="3.4666666666666659"/>
    <n v="96.533333333333331"/>
  </r>
  <r>
    <d v="2026-05-05T00:00:00"/>
    <s v="Line C"/>
    <x v="1"/>
    <x v="1"/>
    <x v="303"/>
    <n v="28"/>
    <n v="42"/>
    <n v="639"/>
    <n v="4.1979010494752629"/>
    <n v="95.802098950524737"/>
  </r>
  <r>
    <d v="2026-05-05T00:00:00"/>
    <s v="Line C"/>
    <x v="2"/>
    <x v="1"/>
    <x v="266"/>
    <n v="29"/>
    <n v="90"/>
    <n v="532"/>
    <n v="5.169340463458111"/>
    <n v="94.830659536541901"/>
  </r>
  <r>
    <d v="2026-05-06T00:00:00"/>
    <s v="Line A"/>
    <x v="0"/>
    <x v="1"/>
    <x v="255"/>
    <n v="18"/>
    <n v="56"/>
    <n v="807"/>
    <n v="2.1818181818181821"/>
    <n v="97.818181818181813"/>
  </r>
  <r>
    <d v="2026-05-06T00:00:00"/>
    <s v="Line A"/>
    <x v="1"/>
    <x v="3"/>
    <x v="150"/>
    <n v="14"/>
    <n v="11"/>
    <n v="930"/>
    <n v="1.4830508474576269"/>
    <n v="98.516949152542381"/>
  </r>
  <r>
    <d v="2026-05-06T00:00:00"/>
    <s v="Line A"/>
    <x v="2"/>
    <x v="1"/>
    <x v="238"/>
    <n v="28"/>
    <n v="2"/>
    <n v="823"/>
    <n v="3.2902467685076382"/>
    <n v="96.709753231492357"/>
  </r>
  <r>
    <d v="2026-05-06T00:00:00"/>
    <s v="Line B"/>
    <x v="0"/>
    <x v="1"/>
    <x v="284"/>
    <n v="25"/>
    <n v="69"/>
    <n v="733"/>
    <n v="3.2981530343007921"/>
    <n v="96.701846965699218"/>
  </r>
  <r>
    <d v="2026-05-06T00:00:00"/>
    <s v="Line B"/>
    <x v="1"/>
    <x v="2"/>
    <x v="0"/>
    <n v="22"/>
    <n v="21"/>
    <n v="867"/>
    <n v="2.474690663667042"/>
    <n v="97.525309336332953"/>
  </r>
  <r>
    <d v="2026-05-06T00:00:00"/>
    <s v="Line B"/>
    <x v="2"/>
    <x v="1"/>
    <x v="61"/>
    <n v="30"/>
    <n v="9"/>
    <n v="677"/>
    <n v="4.2432814710042432"/>
    <n v="95.756718528995748"/>
  </r>
  <r>
    <d v="2026-05-06T00:00:00"/>
    <s v="Line C"/>
    <x v="0"/>
    <x v="2"/>
    <x v="67"/>
    <n v="29"/>
    <n v="58"/>
    <n v="815"/>
    <n v="3.4360189573459721"/>
    <n v="96.563981042654021"/>
  </r>
  <r>
    <d v="2026-05-06T00:00:00"/>
    <s v="Line C"/>
    <x v="1"/>
    <x v="3"/>
    <x v="33"/>
    <n v="25"/>
    <n v="43"/>
    <n v="698"/>
    <n v="3.4578146611341629"/>
    <n v="96.542185338865835"/>
  </r>
  <r>
    <d v="2026-05-06T00:00:00"/>
    <s v="Line C"/>
    <x v="2"/>
    <x v="3"/>
    <x v="365"/>
    <n v="29"/>
    <n v="51"/>
    <n v="624"/>
    <n v="4.4410413476263404"/>
    <n v="95.558958652373661"/>
  </r>
  <r>
    <d v="2026-05-07T00:00:00"/>
    <s v="Line A"/>
    <x v="0"/>
    <x v="0"/>
    <x v="129"/>
    <n v="14"/>
    <n v="69"/>
    <n v="943"/>
    <n v="1.462904911180773"/>
    <n v="98.537095088819228"/>
  </r>
  <r>
    <d v="2026-05-07T00:00:00"/>
    <s v="Line A"/>
    <x v="1"/>
    <x v="0"/>
    <x v="135"/>
    <n v="13"/>
    <n v="48"/>
    <n v="878"/>
    <n v="1.4590347923681259"/>
    <n v="98.540965207631871"/>
  </r>
  <r>
    <d v="2026-05-07T00:00:00"/>
    <s v="Line B"/>
    <x v="0"/>
    <x v="1"/>
    <x v="183"/>
    <n v="25"/>
    <n v="63"/>
    <n v="750"/>
    <n v="3.225806451612903"/>
    <n v="96.774193548387103"/>
  </r>
  <r>
    <d v="2026-05-07T00:00:00"/>
    <s v="Line B"/>
    <x v="1"/>
    <x v="3"/>
    <x v="219"/>
    <n v="20"/>
    <n v="43"/>
    <n v="781"/>
    <n v="2.4968789013732828"/>
    <n v="97.503121098626721"/>
  </r>
  <r>
    <d v="2026-05-07T00:00:00"/>
    <s v="Line B"/>
    <x v="2"/>
    <x v="1"/>
    <x v="7"/>
    <n v="28"/>
    <n v="72"/>
    <n v="632"/>
    <n v="4.2424242424242431"/>
    <n v="95.757575757575751"/>
  </r>
  <r>
    <d v="2026-05-07T00:00:00"/>
    <s v="Line C"/>
    <x v="0"/>
    <x v="3"/>
    <x v="54"/>
    <n v="25"/>
    <n v="26"/>
    <n v="711"/>
    <n v="3.3967391304347818"/>
    <n v="96.603260869565219"/>
  </r>
  <r>
    <d v="2026-05-07T00:00:00"/>
    <s v="Line C"/>
    <x v="1"/>
    <x v="2"/>
    <x v="71"/>
    <n v="26"/>
    <n v="69"/>
    <n v="726"/>
    <n v="3.457446808510638"/>
    <n v="96.542553191489361"/>
  </r>
  <r>
    <d v="2026-05-07T00:00:00"/>
    <s v="Line C"/>
    <x v="2"/>
    <x v="1"/>
    <x v="40"/>
    <n v="34"/>
    <n v="12"/>
    <n v="625"/>
    <n v="5.1593323216995444"/>
    <n v="94.840667678300449"/>
  </r>
  <r>
    <d v="2026-05-08T00:00:00"/>
    <s v="Line A"/>
    <x v="0"/>
    <x v="2"/>
    <x v="212"/>
    <n v="15"/>
    <n v="41"/>
    <n v="994"/>
    <n v="1.486620416253716"/>
    <n v="98.513379583746286"/>
  </r>
  <r>
    <d v="2026-05-08T00:00:00"/>
    <s v="Line A"/>
    <x v="1"/>
    <x v="3"/>
    <x v="0"/>
    <n v="13"/>
    <n v="24"/>
    <n v="876"/>
    <n v="1.462317210348707"/>
    <n v="98.537682789651299"/>
  </r>
  <r>
    <d v="2026-05-08T00:00:00"/>
    <s v="Line A"/>
    <x v="2"/>
    <x v="2"/>
    <x v="114"/>
    <n v="20"/>
    <n v="85"/>
    <n v="807"/>
    <n v="2.418379685610641"/>
    <n v="97.581620314389355"/>
  </r>
  <r>
    <d v="2026-05-08T00:00:00"/>
    <s v="Line B"/>
    <x v="0"/>
    <x v="3"/>
    <x v="255"/>
    <n v="20"/>
    <n v="40"/>
    <n v="805"/>
    <n v="2.4242424242424239"/>
    <n v="97.575757575757578"/>
  </r>
  <r>
    <d v="2026-05-08T00:00:00"/>
    <s v="Line B"/>
    <x v="1"/>
    <x v="3"/>
    <x v="140"/>
    <n v="18"/>
    <n v="49"/>
    <n v="737"/>
    <n v="2.3841059602649008"/>
    <n v="97.615894039735096"/>
  </r>
  <r>
    <d v="2026-05-08T00:00:00"/>
    <s v="Line B"/>
    <x v="2"/>
    <x v="1"/>
    <x v="395"/>
    <n v="27"/>
    <n v="87"/>
    <n v="610"/>
    <n v="4.2386185243328098"/>
    <n v="95.761381475667193"/>
  </r>
  <r>
    <d v="2026-05-08T00:00:00"/>
    <s v="Line C"/>
    <x v="0"/>
    <x v="0"/>
    <x v="172"/>
    <n v="25"/>
    <n v="75"/>
    <n v="715"/>
    <n v="3.378378378378379"/>
    <n v="96.621621621621628"/>
  </r>
  <r>
    <d v="2026-05-08T00:00:00"/>
    <s v="Line C"/>
    <x v="1"/>
    <x v="1"/>
    <x v="79"/>
    <n v="28"/>
    <n v="33"/>
    <n v="634"/>
    <n v="4.2296072507552873"/>
    <n v="95.770392749244721"/>
  </r>
  <r>
    <d v="2026-05-08T00:00:00"/>
    <s v="Line C"/>
    <x v="2"/>
    <x v="0"/>
    <x v="243"/>
    <n v="31"/>
    <n v="32"/>
    <n v="677"/>
    <n v="4.3785310734463279"/>
    <n v="95.621468926553675"/>
  </r>
  <r>
    <d v="2026-05-09T00:00:00"/>
    <s v="Line A"/>
    <x v="0"/>
    <x v="1"/>
    <x v="118"/>
    <n v="19"/>
    <n v="51"/>
    <n v="809"/>
    <n v="2.2946859903381638"/>
    <n v="97.705314009661834"/>
  </r>
  <r>
    <d v="2026-05-09T00:00:00"/>
    <s v="Line A"/>
    <x v="1"/>
    <x v="3"/>
    <x v="310"/>
    <n v="14"/>
    <n v="5"/>
    <n v="952"/>
    <n v="1.449275362318841"/>
    <n v="98.550724637681171"/>
  </r>
  <r>
    <d v="2026-05-09T00:00:00"/>
    <s v="Line A"/>
    <x v="2"/>
    <x v="2"/>
    <x v="103"/>
    <n v="22"/>
    <n v="54"/>
    <n v="863"/>
    <n v="2.485875706214689"/>
    <n v="97.514124293785315"/>
  </r>
  <r>
    <d v="2026-05-09T00:00:00"/>
    <s v="Line B"/>
    <x v="0"/>
    <x v="3"/>
    <x v="293"/>
    <n v="21"/>
    <n v="62"/>
    <n v="825"/>
    <n v="2.4822695035461"/>
    <n v="97.517730496453908"/>
  </r>
  <r>
    <d v="2026-05-09T00:00:00"/>
    <s v="Line B"/>
    <x v="1"/>
    <x v="1"/>
    <x v="111"/>
    <n v="24"/>
    <n v="28"/>
    <n v="719"/>
    <n v="3.2301480484522211"/>
    <n v="96.769851951547778"/>
  </r>
  <r>
    <d v="2026-05-09T00:00:00"/>
    <s v="Line B"/>
    <x v="2"/>
    <x v="0"/>
    <x v="90"/>
    <n v="25"/>
    <n v="88"/>
    <n v="704"/>
    <n v="3.4293552812071328"/>
    <n v="96.570644718792863"/>
  </r>
  <r>
    <d v="2026-05-09T00:00:00"/>
    <s v="Line C"/>
    <x v="0"/>
    <x v="2"/>
    <x v="222"/>
    <n v="29"/>
    <n v="27"/>
    <n v="818"/>
    <n v="3.4238488783943328"/>
    <n v="96.576151121605676"/>
  </r>
  <r>
    <d v="2026-05-09T00:00:00"/>
    <s v="Line C"/>
    <x v="1"/>
    <x v="3"/>
    <x v="302"/>
    <n v="24"/>
    <n v="80"/>
    <n v="675"/>
    <n v="3.433476394849786"/>
    <n v="96.566523605150209"/>
  </r>
  <r>
    <d v="2026-05-09T00:00:00"/>
    <s v="Line C"/>
    <x v="2"/>
    <x v="3"/>
    <x v="396"/>
    <n v="28"/>
    <n v="87"/>
    <n v="598"/>
    <n v="4.4728434504792327"/>
    <n v="95.527156549520768"/>
  </r>
  <r>
    <d v="2026-05-10T00:00:00"/>
    <s v="Line A"/>
    <x v="0"/>
    <x v="0"/>
    <x v="66"/>
    <n v="14"/>
    <n v="57"/>
    <n v="967"/>
    <n v="1.427115188583078"/>
    <n v="98.572884811416912"/>
  </r>
  <r>
    <d v="2026-05-10T00:00:00"/>
    <s v="Line A"/>
    <x v="1"/>
    <x v="1"/>
    <x v="265"/>
    <n v="18"/>
    <n v="70"/>
    <n v="770"/>
    <n v="2.2842639593908629"/>
    <n v="97.71573604060913"/>
  </r>
  <r>
    <d v="2026-05-10T00:00:00"/>
    <s v="Line A"/>
    <x v="2"/>
    <x v="2"/>
    <x v="397"/>
    <n v="23"/>
    <n v="41"/>
    <n v="908"/>
    <n v="2.4704618689581088"/>
    <n v="97.529538131041889"/>
  </r>
  <r>
    <d v="2026-05-10T00:00:00"/>
    <s v="Line B"/>
    <x v="0"/>
    <x v="1"/>
    <x v="238"/>
    <n v="28"/>
    <n v="9"/>
    <n v="823"/>
    <n v="3.2902467685076382"/>
    <n v="96.709753231492357"/>
  </r>
  <r>
    <d v="2026-05-10T00:00:00"/>
    <s v="Line B"/>
    <x v="1"/>
    <x v="0"/>
    <x v="214"/>
    <n v="20"/>
    <n v="59"/>
    <n v="793"/>
    <n v="2.460024600246002"/>
    <n v="97.539975399753999"/>
  </r>
  <r>
    <d v="2026-05-10T00:00:00"/>
    <s v="Line B"/>
    <x v="2"/>
    <x v="0"/>
    <x v="339"/>
    <n v="25"/>
    <n v="87"/>
    <n v="716"/>
    <n v="3.3738191632928469"/>
    <n v="96.62618083670715"/>
  </r>
  <r>
    <d v="2026-05-10T00:00:00"/>
    <s v="Line C"/>
    <x v="0"/>
    <x v="1"/>
    <x v="125"/>
    <n v="31"/>
    <n v="32"/>
    <n v="706"/>
    <n v="4.2062415196743546"/>
    <n v="95.793758480325636"/>
  </r>
  <r>
    <d v="2026-05-10T00:00:00"/>
    <s v="Line C"/>
    <x v="1"/>
    <x v="3"/>
    <x v="143"/>
    <n v="27"/>
    <n v="14"/>
    <n v="750"/>
    <n v="3.4749034749034751"/>
    <n v="96.525096525096515"/>
  </r>
  <r>
    <d v="2026-05-10T00:00:00"/>
    <s v="Line C"/>
    <x v="2"/>
    <x v="0"/>
    <x v="70"/>
    <n v="32"/>
    <n v="44"/>
    <n v="681"/>
    <n v="4.4880785413744739"/>
    <n v="95.511921458625523"/>
  </r>
  <r>
    <d v="2026-05-11T00:00:00"/>
    <s v="Line A"/>
    <x v="0"/>
    <x v="2"/>
    <x v="398"/>
    <n v="16"/>
    <n v="35"/>
    <n v="1060"/>
    <n v="1.486988847583643"/>
    <n v="98.513011152416354"/>
  </r>
  <r>
    <d v="2026-05-11T00:00:00"/>
    <s v="Line A"/>
    <x v="1"/>
    <x v="0"/>
    <x v="168"/>
    <n v="13"/>
    <n v="42"/>
    <n v="885"/>
    <n v="1.4476614699331849"/>
    <n v="98.55233853006682"/>
  </r>
  <r>
    <d v="2026-05-11T00:00:00"/>
    <s v="Line A"/>
    <x v="2"/>
    <x v="1"/>
    <x v="67"/>
    <n v="27"/>
    <n v="10"/>
    <n v="817"/>
    <n v="3.199052132701421"/>
    <n v="96.800947867298575"/>
  </r>
  <r>
    <d v="2026-05-11T00:00:00"/>
    <s v="Line B"/>
    <x v="0"/>
    <x v="0"/>
    <x v="139"/>
    <n v="22"/>
    <n v="30"/>
    <n v="887"/>
    <n v="2.4202420242024201"/>
    <n v="97.579757975797577"/>
  </r>
  <r>
    <d v="2026-05-11T00:00:00"/>
    <s v="Line B"/>
    <x v="1"/>
    <x v="3"/>
    <x v="14"/>
    <n v="20"/>
    <n v="26"/>
    <n v="794"/>
    <n v="2.4570024570024569"/>
    <n v="97.54299754299754"/>
  </r>
  <r>
    <d v="2026-05-11T00:00:00"/>
    <s v="Line B"/>
    <x v="2"/>
    <x v="0"/>
    <x v="231"/>
    <n v="28"/>
    <n v="0"/>
    <n v="783"/>
    <n v="3.45252774352651"/>
    <n v="96.547472256473483"/>
  </r>
  <r>
    <d v="2026-05-11T00:00:00"/>
    <s v="Line C"/>
    <x v="1"/>
    <x v="3"/>
    <x v="94"/>
    <n v="25"/>
    <n v="6"/>
    <n v="703"/>
    <n v="3.4340659340659339"/>
    <n v="96.565934065934073"/>
  </r>
  <r>
    <d v="2026-05-11T00:00:00"/>
    <s v="Line C"/>
    <x v="2"/>
    <x v="2"/>
    <x v="338"/>
    <n v="31"/>
    <n v="76"/>
    <n v="671"/>
    <n v="4.415954415954416"/>
    <n v="95.584045584045583"/>
  </r>
  <r>
    <d v="2026-05-12T00:00:00"/>
    <s v="Line A"/>
    <x v="0"/>
    <x v="2"/>
    <x v="399"/>
    <n v="16"/>
    <n v="16"/>
    <n v="1067"/>
    <n v="1.4773776546629731"/>
    <n v="98.522622345337027"/>
  </r>
  <r>
    <d v="2026-05-12T00:00:00"/>
    <s v="Line A"/>
    <x v="1"/>
    <x v="0"/>
    <x v="1"/>
    <n v="13"/>
    <n v="30"/>
    <n v="905"/>
    <n v="1.416122004357298"/>
    <n v="98.583877995642695"/>
  </r>
  <r>
    <d v="2026-05-12T00:00:00"/>
    <s v="Line A"/>
    <x v="2"/>
    <x v="1"/>
    <x v="278"/>
    <n v="24"/>
    <n v="35"/>
    <n v="721"/>
    <n v="3.2214765100671139"/>
    <n v="96.778523489932894"/>
  </r>
  <r>
    <d v="2026-05-12T00:00:00"/>
    <s v="Line B"/>
    <x v="0"/>
    <x v="0"/>
    <x v="374"/>
    <n v="21"/>
    <n v="27"/>
    <n v="851"/>
    <n v="2.4082568807339451"/>
    <n v="97.591743119266056"/>
  </r>
  <r>
    <d v="2026-05-12T00:00:00"/>
    <s v="Line B"/>
    <x v="1"/>
    <x v="0"/>
    <x v="254"/>
    <n v="18"/>
    <n v="80"/>
    <n v="741"/>
    <n v="2.3715415019762842"/>
    <n v="97.628458498023718"/>
  </r>
  <r>
    <d v="2026-05-12T00:00:00"/>
    <s v="Line B"/>
    <x v="2"/>
    <x v="3"/>
    <x v="94"/>
    <n v="25"/>
    <n v="35"/>
    <n v="703"/>
    <n v="3.4340659340659339"/>
    <n v="96.565934065934073"/>
  </r>
  <r>
    <d v="2026-05-12T00:00:00"/>
    <s v="Line C"/>
    <x v="0"/>
    <x v="3"/>
    <x v="28"/>
    <n v="27"/>
    <n v="14"/>
    <n v="770"/>
    <n v="3.3877038895859481"/>
    <n v="96.61229611041405"/>
  </r>
  <r>
    <d v="2026-05-12T00:00:00"/>
    <s v="Line C"/>
    <x v="1"/>
    <x v="3"/>
    <x v="72"/>
    <n v="22"/>
    <n v="73"/>
    <n v="620"/>
    <n v="3.426791277258566"/>
    <n v="96.573208722741427"/>
  </r>
  <r>
    <d v="2026-05-12T00:00:00"/>
    <s v="Line C"/>
    <x v="2"/>
    <x v="0"/>
    <x v="87"/>
    <n v="32"/>
    <n v="27"/>
    <n v="687"/>
    <n v="4.4506258692628649"/>
    <n v="95.549374130737135"/>
  </r>
  <r>
    <d v="2026-05-13T00:00:00"/>
    <s v="Line A"/>
    <x v="0"/>
    <x v="2"/>
    <x v="366"/>
    <n v="15"/>
    <n v="35"/>
    <n v="1019"/>
    <n v="1.4506769825918759"/>
    <n v="98.549323017408113"/>
  </r>
  <r>
    <d v="2026-05-13T00:00:00"/>
    <s v="Line A"/>
    <x v="1"/>
    <x v="2"/>
    <x v="247"/>
    <n v="14"/>
    <n v="38"/>
    <n v="980"/>
    <n v="1.408450704225352"/>
    <n v="98.591549295774655"/>
  </r>
  <r>
    <d v="2026-05-13T00:00:00"/>
    <s v="Line A"/>
    <x v="2"/>
    <x v="0"/>
    <x v="39"/>
    <n v="21"/>
    <n v="51"/>
    <n v="836"/>
    <n v="2.450408401400233"/>
    <n v="97.549591598599775"/>
  </r>
  <r>
    <d v="2026-05-13T00:00:00"/>
    <s v="Line B"/>
    <x v="0"/>
    <x v="3"/>
    <x v="41"/>
    <n v="20"/>
    <n v="27"/>
    <n v="811"/>
    <n v="2.4067388688327318"/>
    <n v="97.593261131167267"/>
  </r>
  <r>
    <d v="2026-05-13T00:00:00"/>
    <s v="Line B"/>
    <x v="1"/>
    <x v="0"/>
    <x v="29"/>
    <n v="22"/>
    <n v="29"/>
    <n v="861"/>
    <n v="2.491506228765572"/>
    <n v="97.508493771234427"/>
  </r>
  <r>
    <d v="2026-05-13T00:00:00"/>
    <s v="Line B"/>
    <x v="2"/>
    <x v="3"/>
    <x v="137"/>
    <n v="24"/>
    <n v="73"/>
    <n v="688"/>
    <n v="3.3707865168539319"/>
    <n v="96.629213483146074"/>
  </r>
  <r>
    <d v="2026-05-13T00:00:00"/>
    <s v="Line C"/>
    <x v="0"/>
    <x v="0"/>
    <x v="23"/>
    <n v="29"/>
    <n v="17"/>
    <n v="825"/>
    <n v="3.3957845433255271"/>
    <n v="96.604215456674467"/>
  </r>
  <r>
    <d v="2026-05-13T00:00:00"/>
    <s v="Line C"/>
    <x v="1"/>
    <x v="2"/>
    <x v="87"/>
    <n v="25"/>
    <n v="72"/>
    <n v="694"/>
    <n v="3.4770514603616132"/>
    <n v="96.522948539638392"/>
  </r>
  <r>
    <d v="2026-05-13T00:00:00"/>
    <s v="Line C"/>
    <x v="2"/>
    <x v="1"/>
    <x v="341"/>
    <n v="34"/>
    <n v="27"/>
    <n v="615"/>
    <n v="5.2388289676425268"/>
    <n v="94.761171032357467"/>
  </r>
  <r>
    <d v="2026-05-14T00:00:00"/>
    <s v="Line A"/>
    <x v="0"/>
    <x v="0"/>
    <x v="390"/>
    <n v="13"/>
    <n v="83"/>
    <n v="909"/>
    <n v="1.40997830802603"/>
    <n v="98.590021691973973"/>
  </r>
  <r>
    <d v="2026-05-14T00:00:00"/>
    <s v="Line A"/>
    <x v="1"/>
    <x v="2"/>
    <x v="168"/>
    <n v="13"/>
    <n v="90"/>
    <n v="885"/>
    <n v="1.4476614699331849"/>
    <n v="98.55233853006682"/>
  </r>
  <r>
    <d v="2026-05-14T00:00:00"/>
    <s v="Line A"/>
    <x v="2"/>
    <x v="0"/>
    <x v="400"/>
    <n v="22"/>
    <n v="25"/>
    <n v="883"/>
    <n v="2.430939226519337"/>
    <n v="97.569060773480658"/>
  </r>
  <r>
    <d v="2026-05-14T00:00:00"/>
    <s v="Line B"/>
    <x v="0"/>
    <x v="3"/>
    <x v="215"/>
    <n v="19"/>
    <n v="87"/>
    <n v="750"/>
    <n v="2.4707412223667098"/>
    <n v="97.529258777633288"/>
  </r>
  <r>
    <d v="2026-05-14T00:00:00"/>
    <s v="Line B"/>
    <x v="1"/>
    <x v="0"/>
    <x v="78"/>
    <n v="20"/>
    <n v="79"/>
    <n v="795"/>
    <n v="2.4539877300613502"/>
    <n v="97.546012269938657"/>
  </r>
  <r>
    <d v="2026-05-14T00:00:00"/>
    <s v="Line B"/>
    <x v="2"/>
    <x v="1"/>
    <x v="40"/>
    <n v="28"/>
    <n v="72"/>
    <n v="631"/>
    <n v="4.2488619119878601"/>
    <n v="95.751138088012141"/>
  </r>
  <r>
    <d v="2026-05-14T00:00:00"/>
    <s v="Line C"/>
    <x v="0"/>
    <x v="0"/>
    <x v="119"/>
    <n v="30"/>
    <n v="20"/>
    <n v="829"/>
    <n v="3.49243306169965"/>
    <n v="96.507566938300343"/>
  </r>
  <r>
    <d v="2026-05-14T00:00:00"/>
    <s v="Line C"/>
    <x v="1"/>
    <x v="2"/>
    <x v="31"/>
    <n v="27"/>
    <n v="46"/>
    <n v="765"/>
    <n v="3.4090909090909092"/>
    <n v="96.590909090909093"/>
  </r>
  <r>
    <d v="2026-05-14T00:00:00"/>
    <s v="Line C"/>
    <x v="2"/>
    <x v="1"/>
    <x v="151"/>
    <n v="35"/>
    <n v="28"/>
    <n v="631"/>
    <n v="5.2552552552552552"/>
    <n v="94.74474474474475"/>
  </r>
  <r>
    <d v="2026-05-15T00:00:00"/>
    <s v="Line A"/>
    <x v="0"/>
    <x v="2"/>
    <x v="401"/>
    <n v="16"/>
    <n v="11"/>
    <n v="1068"/>
    <n v="1.476014760147601"/>
    <n v="98.523985239852394"/>
  </r>
  <r>
    <d v="2026-05-15T00:00:00"/>
    <s v="Line A"/>
    <x v="1"/>
    <x v="0"/>
    <x v="246"/>
    <n v="14"/>
    <n v="48"/>
    <n v="925"/>
    <n v="1.490947816826411"/>
    <n v="98.50905218317358"/>
  </r>
  <r>
    <d v="2026-05-15T00:00:00"/>
    <s v="Line A"/>
    <x v="2"/>
    <x v="2"/>
    <x v="14"/>
    <n v="20"/>
    <n v="74"/>
    <n v="794"/>
    <n v="2.4570024570024569"/>
    <n v="97.54299754299754"/>
  </r>
  <r>
    <d v="2026-05-15T00:00:00"/>
    <s v="Line B"/>
    <x v="0"/>
    <x v="1"/>
    <x v="250"/>
    <n v="25"/>
    <n v="42"/>
    <n v="756"/>
    <n v="3.2010243277848911"/>
    <n v="96.798975672215107"/>
  </r>
  <r>
    <d v="2026-05-15T00:00:00"/>
    <s v="Line B"/>
    <x v="1"/>
    <x v="1"/>
    <x v="4"/>
    <n v="23"/>
    <n v="74"/>
    <n v="693"/>
    <n v="3.2122905027932962"/>
    <n v="96.787709497206706"/>
  </r>
  <r>
    <d v="2026-05-15T00:00:00"/>
    <s v="Line B"/>
    <x v="2"/>
    <x v="3"/>
    <x v="402"/>
    <n v="23"/>
    <n v="75"/>
    <n v="648"/>
    <n v="3.427719821162444"/>
    <n v="96.572280178837559"/>
  </r>
  <r>
    <d v="2026-05-15T00:00:00"/>
    <s v="Line C"/>
    <x v="0"/>
    <x v="0"/>
    <x v="82"/>
    <n v="28"/>
    <n v="46"/>
    <n v="784"/>
    <n v="3.4482758620689649"/>
    <n v="96.551724137931032"/>
  </r>
  <r>
    <d v="2026-05-15T00:00:00"/>
    <s v="Line C"/>
    <x v="1"/>
    <x v="3"/>
    <x v="339"/>
    <n v="25"/>
    <n v="45"/>
    <n v="716"/>
    <n v="3.3738191632928469"/>
    <n v="96.62618083670715"/>
  </r>
  <r>
    <d v="2026-05-16T00:00:00"/>
    <s v="Line A"/>
    <x v="0"/>
    <x v="3"/>
    <x v="282"/>
    <n v="15"/>
    <n v="8"/>
    <n v="990"/>
    <n v="1.4925373134328359"/>
    <n v="98.507462686567166"/>
  </r>
  <r>
    <d v="2026-05-16T00:00:00"/>
    <s v="Line A"/>
    <x v="1"/>
    <x v="1"/>
    <x v="20"/>
    <n v="21"/>
    <n v="5"/>
    <n v="899"/>
    <n v="2.2826086956521738"/>
    <n v="97.717391304347828"/>
  </r>
  <r>
    <d v="2026-05-16T00:00:00"/>
    <s v="Line A"/>
    <x v="2"/>
    <x v="0"/>
    <x v="403"/>
    <n v="22"/>
    <n v="41"/>
    <n v="866"/>
    <n v="2.477477477477477"/>
    <n v="97.522522522522522"/>
  </r>
  <r>
    <d v="2026-05-16T00:00:00"/>
    <s v="Line B"/>
    <x v="0"/>
    <x v="3"/>
    <x v="234"/>
    <n v="21"/>
    <n v="31"/>
    <n v="847"/>
    <n v="2.419354838709677"/>
    <n v="97.58064516129032"/>
  </r>
  <r>
    <d v="2026-05-16T00:00:00"/>
    <s v="Line B"/>
    <x v="1"/>
    <x v="3"/>
    <x v="119"/>
    <n v="21"/>
    <n v="24"/>
    <n v="838"/>
    <n v="2.4447031431897561"/>
    <n v="97.555296856810244"/>
  </r>
  <r>
    <d v="2026-05-16T00:00:00"/>
    <s v="Line B"/>
    <x v="2"/>
    <x v="1"/>
    <x v="346"/>
    <n v="29"/>
    <n v="49"/>
    <n v="649"/>
    <n v="4.277286135693215"/>
    <n v="95.722713864306783"/>
  </r>
  <r>
    <d v="2026-05-16T00:00:00"/>
    <s v="Line C"/>
    <x v="0"/>
    <x v="3"/>
    <x v="140"/>
    <n v="26"/>
    <n v="47"/>
    <n v="729"/>
    <n v="3.443708609271523"/>
    <n v="96.556291390728475"/>
  </r>
  <r>
    <d v="2026-05-16T00:00:00"/>
    <s v="Line C"/>
    <x v="1"/>
    <x v="3"/>
    <x v="239"/>
    <n v="24"/>
    <n v="56"/>
    <n v="687"/>
    <n v="3.3755274261603372"/>
    <n v="96.624472573839654"/>
  </r>
  <r>
    <d v="2026-05-16T00:00:00"/>
    <s v="Line C"/>
    <x v="2"/>
    <x v="1"/>
    <x v="404"/>
    <n v="32"/>
    <n v="81"/>
    <n v="575"/>
    <n v="5.2718286655683686"/>
    <n v="94.728171334431636"/>
  </r>
  <r>
    <d v="2026-05-17T00:00:00"/>
    <s v="Line A"/>
    <x v="0"/>
    <x v="2"/>
    <x v="405"/>
    <n v="15"/>
    <n v="18"/>
    <n v="1045"/>
    <n v="1.4150943396226421"/>
    <n v="98.584905660377359"/>
  </r>
  <r>
    <d v="2026-05-17T00:00:00"/>
    <s v="Line A"/>
    <x v="1"/>
    <x v="2"/>
    <x v="135"/>
    <n v="13"/>
    <n v="69"/>
    <n v="878"/>
    <n v="1.4590347923681259"/>
    <n v="98.540965207631871"/>
  </r>
  <r>
    <d v="2026-05-17T00:00:00"/>
    <s v="Line A"/>
    <x v="2"/>
    <x v="1"/>
    <x v="294"/>
    <n v="26"/>
    <n v="33"/>
    <n v="767"/>
    <n v="3.278688524590164"/>
    <n v="96.721311475409834"/>
  </r>
  <r>
    <d v="2026-05-17T00:00:00"/>
    <s v="Line B"/>
    <x v="0"/>
    <x v="2"/>
    <x v="380"/>
    <n v="24"/>
    <n v="0"/>
    <n v="954"/>
    <n v="2.4539877300613502"/>
    <n v="97.546012269938657"/>
  </r>
  <r>
    <d v="2026-05-17T00:00:00"/>
    <s v="Line B"/>
    <x v="1"/>
    <x v="0"/>
    <x v="271"/>
    <n v="21"/>
    <n v="13"/>
    <n v="855"/>
    <n v="2.397260273972603"/>
    <n v="97.602739726027394"/>
  </r>
  <r>
    <d v="2026-05-17T00:00:00"/>
    <s v="Line B"/>
    <x v="2"/>
    <x v="3"/>
    <x v="402"/>
    <n v="23"/>
    <n v="87"/>
    <n v="648"/>
    <n v="3.427719821162444"/>
    <n v="96.572280178837559"/>
  </r>
  <r>
    <d v="2026-05-17T00:00:00"/>
    <s v="Line C"/>
    <x v="0"/>
    <x v="1"/>
    <x v="300"/>
    <n v="31"/>
    <n v="13"/>
    <n v="708"/>
    <n v="4.1948579161028423"/>
    <n v="95.805142083897152"/>
  </r>
  <r>
    <d v="2026-05-17T00:00:00"/>
    <s v="Line C"/>
    <x v="1"/>
    <x v="3"/>
    <x v="87"/>
    <n v="25"/>
    <n v="65"/>
    <n v="694"/>
    <n v="3.4770514603616132"/>
    <n v="96.522948539638392"/>
  </r>
  <r>
    <d v="2026-05-17T00:00:00"/>
    <s v="Line C"/>
    <x v="2"/>
    <x v="0"/>
    <x v="207"/>
    <n v="30"/>
    <n v="65"/>
    <n v="657"/>
    <n v="4.3668122270742353"/>
    <n v="95.633187772925766"/>
  </r>
  <r>
    <d v="2026-05-18T00:00:00"/>
    <s v="Line A"/>
    <x v="0"/>
    <x v="3"/>
    <x v="368"/>
    <n v="13"/>
    <n v="58"/>
    <n v="903"/>
    <n v="1.4192139737991269"/>
    <n v="98.580786026200869"/>
  </r>
  <r>
    <d v="2026-05-18T00:00:00"/>
    <s v="Line A"/>
    <x v="1"/>
    <x v="0"/>
    <x v="272"/>
    <n v="13"/>
    <n v="61"/>
    <n v="900"/>
    <n v="1.4238773274917851"/>
    <n v="98.57612267250822"/>
  </r>
  <r>
    <d v="2026-05-18T00:00:00"/>
    <s v="Line A"/>
    <x v="2"/>
    <x v="2"/>
    <x v="242"/>
    <n v="22"/>
    <n v="52"/>
    <n v="860"/>
    <n v="2.4943310657596371"/>
    <n v="97.505668934240362"/>
  </r>
  <r>
    <d v="2026-05-18T00:00:00"/>
    <s v="Line B"/>
    <x v="0"/>
    <x v="3"/>
    <x v="323"/>
    <n v="21"/>
    <n v="4"/>
    <n v="845"/>
    <n v="2.424942263279446"/>
    <n v="97.575057736720552"/>
  </r>
  <r>
    <d v="2026-05-18T00:00:00"/>
    <s v="Line B"/>
    <x v="1"/>
    <x v="2"/>
    <x v="281"/>
    <n v="21"/>
    <n v="48"/>
    <n v="846"/>
    <n v="2.422145328719723"/>
    <n v="97.577854671280278"/>
  </r>
  <r>
    <d v="2026-05-18T00:00:00"/>
    <s v="Line B"/>
    <x v="2"/>
    <x v="3"/>
    <x v="279"/>
    <n v="24"/>
    <n v="45"/>
    <n v="680"/>
    <n v="3.4090909090909092"/>
    <n v="96.590909090909093"/>
  </r>
  <r>
    <d v="2026-05-18T00:00:00"/>
    <s v="Line C"/>
    <x v="0"/>
    <x v="0"/>
    <x v="294"/>
    <n v="27"/>
    <n v="17"/>
    <n v="766"/>
    <n v="3.404791929382093"/>
    <n v="96.595208070617915"/>
  </r>
  <r>
    <d v="2026-05-18T00:00:00"/>
    <s v="Line C"/>
    <x v="1"/>
    <x v="2"/>
    <x v="182"/>
    <n v="26"/>
    <n v="82"/>
    <n v="741"/>
    <n v="3.3898305084745761"/>
    <n v="96.610169491525426"/>
  </r>
  <r>
    <d v="2026-05-18T00:00:00"/>
    <s v="Line C"/>
    <x v="2"/>
    <x v="2"/>
    <x v="194"/>
    <n v="33"/>
    <n v="6"/>
    <n v="720"/>
    <n v="4.3824701195219129"/>
    <n v="95.617529880478088"/>
  </r>
  <r>
    <d v="2026-05-19T00:00:00"/>
    <s v="Line A"/>
    <x v="0"/>
    <x v="2"/>
    <x v="406"/>
    <n v="14"/>
    <n v="38"/>
    <n v="985"/>
    <n v="1.4014014014014009"/>
    <n v="98.598598598598599"/>
  </r>
  <r>
    <d v="2026-05-19T00:00:00"/>
    <s v="Line A"/>
    <x v="1"/>
    <x v="1"/>
    <x v="118"/>
    <n v="19"/>
    <n v="13"/>
    <n v="809"/>
    <n v="2.2946859903381638"/>
    <n v="97.705314009661834"/>
  </r>
  <r>
    <d v="2026-05-19T00:00:00"/>
    <s v="Line A"/>
    <x v="2"/>
    <x v="3"/>
    <x v="155"/>
    <n v="21"/>
    <n v="38"/>
    <n v="821"/>
    <n v="2.4940617577197148"/>
    <n v="97.505938242280294"/>
  </r>
  <r>
    <d v="2026-05-19T00:00:00"/>
    <s v="Line B"/>
    <x v="0"/>
    <x v="1"/>
    <x v="241"/>
    <n v="25"/>
    <n v="72"/>
    <n v="736"/>
    <n v="3.2851511169513801"/>
    <n v="96.714848883048617"/>
  </r>
  <r>
    <d v="2026-05-19T00:00:00"/>
    <s v="Line B"/>
    <x v="1"/>
    <x v="1"/>
    <x v="86"/>
    <n v="26"/>
    <n v="36"/>
    <n v="764"/>
    <n v="3.2911392405063289"/>
    <n v="96.708860759493675"/>
  </r>
  <r>
    <d v="2026-05-19T00:00:00"/>
    <s v="Line B"/>
    <x v="2"/>
    <x v="0"/>
    <x v="48"/>
    <n v="26"/>
    <n v="51"/>
    <n v="740"/>
    <n v="3.3942558746736302"/>
    <n v="96.605744125326382"/>
  </r>
  <r>
    <d v="2026-05-19T00:00:00"/>
    <s v="Line C"/>
    <x v="0"/>
    <x v="1"/>
    <x v="141"/>
    <n v="28"/>
    <n v="88"/>
    <n v="633"/>
    <n v="4.236006051437216"/>
    <n v="95.763993948562785"/>
  </r>
  <r>
    <d v="2026-05-19T00:00:00"/>
    <s v="Line C"/>
    <x v="1"/>
    <x v="2"/>
    <x v="15"/>
    <n v="26"/>
    <n v="74"/>
    <n v="718"/>
    <n v="3.4946236559139781"/>
    <n v="96.505376344086031"/>
  </r>
  <r>
    <d v="2026-05-19T00:00:00"/>
    <s v="Line C"/>
    <x v="2"/>
    <x v="0"/>
    <x v="63"/>
    <n v="30"/>
    <n v="65"/>
    <n v="650"/>
    <n v="4.4117647058823533"/>
    <n v="95.588235294117652"/>
  </r>
  <r>
    <d v="2026-05-20T00:00:00"/>
    <s v="Line A"/>
    <x v="0"/>
    <x v="2"/>
    <x v="136"/>
    <n v="15"/>
    <n v="69"/>
    <n v="988"/>
    <n v="1.495513459621137"/>
    <n v="98.504486540378863"/>
  </r>
  <r>
    <d v="2026-05-20T00:00:00"/>
    <s v="Line A"/>
    <x v="1"/>
    <x v="2"/>
    <x v="100"/>
    <n v="14"/>
    <n v="32"/>
    <n v="945"/>
    <n v="1.4598540145985399"/>
    <n v="98.540145985401466"/>
  </r>
  <r>
    <d v="2026-05-20T00:00:00"/>
    <s v="Line A"/>
    <x v="2"/>
    <x v="3"/>
    <x v="78"/>
    <n v="20"/>
    <n v="31"/>
    <n v="795"/>
    <n v="2.4539877300613502"/>
    <n v="97.546012269938657"/>
  </r>
  <r>
    <d v="2026-05-20T00:00:00"/>
    <s v="Line B"/>
    <x v="0"/>
    <x v="1"/>
    <x v="140"/>
    <n v="24"/>
    <n v="82"/>
    <n v="731"/>
    <n v="3.1788079470198669"/>
    <n v="96.821192052980138"/>
  </r>
  <r>
    <d v="2026-05-20T00:00:00"/>
    <s v="Line B"/>
    <x v="1"/>
    <x v="1"/>
    <x v="80"/>
    <n v="26"/>
    <n v="1"/>
    <n v="780"/>
    <n v="3.225806451612903"/>
    <n v="96.774193548387103"/>
  </r>
  <r>
    <d v="2026-05-20T00:00:00"/>
    <s v="Line B"/>
    <x v="2"/>
    <x v="3"/>
    <x v="182"/>
    <n v="26"/>
    <n v="40"/>
    <n v="741"/>
    <n v="3.3898305084745761"/>
    <n v="96.610169491525426"/>
  </r>
  <r>
    <d v="2026-05-20T00:00:00"/>
    <s v="Line C"/>
    <x v="0"/>
    <x v="0"/>
    <x v="302"/>
    <n v="24"/>
    <n v="84"/>
    <n v="675"/>
    <n v="3.433476394849786"/>
    <n v="96.566523605150209"/>
  </r>
  <r>
    <d v="2026-05-20T00:00:00"/>
    <s v="Line C"/>
    <x v="1"/>
    <x v="3"/>
    <x v="24"/>
    <n v="26"/>
    <n v="13"/>
    <n v="724"/>
    <n v="3.4666666666666659"/>
    <n v="96.533333333333331"/>
  </r>
  <r>
    <d v="2026-05-20T00:00:00"/>
    <s v="Line C"/>
    <x v="2"/>
    <x v="3"/>
    <x v="381"/>
    <n v="30"/>
    <n v="28"/>
    <n v="655"/>
    <n v="4.3795620437956204"/>
    <n v="95.620437956204384"/>
  </r>
  <r>
    <d v="2026-05-21T00:00:00"/>
    <s v="Line A"/>
    <x v="0"/>
    <x v="2"/>
    <x v="407"/>
    <n v="16"/>
    <n v="11"/>
    <n v="1097"/>
    <n v="1.437556154537287"/>
    <n v="98.56244384546271"/>
  </r>
  <r>
    <d v="2026-05-21T00:00:00"/>
    <s v="Line A"/>
    <x v="1"/>
    <x v="0"/>
    <x v="408"/>
    <n v="15"/>
    <n v="8"/>
    <n v="992"/>
    <n v="1.4895729890764651"/>
    <n v="98.510427010923536"/>
  </r>
  <r>
    <d v="2026-05-21T00:00:00"/>
    <s v="Line A"/>
    <x v="2"/>
    <x v="3"/>
    <x v="409"/>
    <n v="19"/>
    <n v="57"/>
    <n v="779"/>
    <n v="2.3809523809523809"/>
    <n v="97.61904761904762"/>
  </r>
  <r>
    <d v="2026-05-21T00:00:00"/>
    <s v="Line B"/>
    <x v="0"/>
    <x v="0"/>
    <x v="75"/>
    <n v="21"/>
    <n v="83"/>
    <n v="835"/>
    <n v="2.4532710280373831"/>
    <n v="97.546728971962608"/>
  </r>
  <r>
    <d v="2026-05-21T00:00:00"/>
    <s v="Line B"/>
    <x v="1"/>
    <x v="2"/>
    <x v="1"/>
    <n v="22"/>
    <n v="1"/>
    <n v="896"/>
    <n v="2.3965141612200429"/>
    <n v="97.60348583877996"/>
  </r>
  <r>
    <d v="2026-05-21T00:00:00"/>
    <s v="Line B"/>
    <x v="2"/>
    <x v="0"/>
    <x v="231"/>
    <n v="28"/>
    <n v="19"/>
    <n v="783"/>
    <n v="3.45252774352651"/>
    <n v="96.547472256473483"/>
  </r>
  <r>
    <d v="2026-05-21T00:00:00"/>
    <s v="Line C"/>
    <x v="0"/>
    <x v="1"/>
    <x v="32"/>
    <n v="27"/>
    <n v="86"/>
    <n v="604"/>
    <n v="4.2789223454833598"/>
    <n v="95.721077654516634"/>
  </r>
  <r>
    <d v="2026-05-21T00:00:00"/>
    <s v="Line C"/>
    <x v="1"/>
    <x v="0"/>
    <x v="182"/>
    <n v="26"/>
    <n v="18"/>
    <n v="741"/>
    <n v="3.3898305084745761"/>
    <n v="96.610169491525426"/>
  </r>
  <r>
    <d v="2026-05-21T00:00:00"/>
    <s v="Line A"/>
    <x v="2"/>
    <x v="1"/>
    <x v="410"/>
    <n v="32"/>
    <n v="32"/>
    <n v="581"/>
    <n v="5.2202283849918434"/>
    <n v="94.779771615008158"/>
  </r>
  <r>
    <d v="2026-05-22T00:00:00"/>
    <s v="Line A"/>
    <x v="0"/>
    <x v="3"/>
    <x v="337"/>
    <n v="14"/>
    <n v="22"/>
    <n v="982"/>
    <n v="1.4056224899598391"/>
    <n v="98.594377510040161"/>
  </r>
  <r>
    <d v="2026-05-22T00:00:00"/>
    <s v="Line A"/>
    <x v="1"/>
    <x v="3"/>
    <x v="222"/>
    <n v="12"/>
    <n v="54"/>
    <n v="835"/>
    <n v="1.4167650531286891"/>
    <n v="98.583234946871315"/>
  </r>
  <r>
    <d v="2026-05-22T00:00:00"/>
    <s v="Line A"/>
    <x v="2"/>
    <x v="1"/>
    <x v="45"/>
    <n v="27"/>
    <n v="10"/>
    <n v="811"/>
    <n v="3.2219570405727929"/>
    <n v="96.778042959427211"/>
  </r>
  <r>
    <d v="2026-05-22T00:00:00"/>
    <s v="Line B"/>
    <x v="0"/>
    <x v="1"/>
    <x v="181"/>
    <n v="25"/>
    <n v="18"/>
    <n v="759"/>
    <n v="3.1887755102040818"/>
    <n v="96.811224489795919"/>
  </r>
  <r>
    <d v="2026-05-22T00:00:00"/>
    <s v="Line B"/>
    <x v="1"/>
    <x v="1"/>
    <x v="239"/>
    <n v="23"/>
    <n v="71"/>
    <n v="688"/>
    <n v="3.2348804500703241"/>
    <n v="96.765119549929679"/>
  </r>
  <r>
    <d v="2026-05-22T00:00:00"/>
    <s v="Line B"/>
    <x v="2"/>
    <x v="3"/>
    <x v="365"/>
    <n v="22"/>
    <n v="90"/>
    <n v="631"/>
    <n v="3.3690658499234298"/>
    <n v="96.63093415007657"/>
  </r>
  <r>
    <d v="2026-05-22T00:00:00"/>
    <s v="Line C"/>
    <x v="0"/>
    <x v="3"/>
    <x v="205"/>
    <n v="26"/>
    <n v="62"/>
    <n v="736"/>
    <n v="3.4120734908136479"/>
    <n v="96.587926509186346"/>
  </r>
  <r>
    <d v="2026-05-22T00:00:00"/>
    <s v="Line C"/>
    <x v="1"/>
    <x v="3"/>
    <x v="95"/>
    <n v="25"/>
    <n v="13"/>
    <n v="695"/>
    <n v="3.4722222222222219"/>
    <n v="96.527777777777786"/>
  </r>
  <r>
    <d v="2026-05-22T00:00:00"/>
    <s v="Line C"/>
    <x v="2"/>
    <x v="3"/>
    <x v="367"/>
    <n v="30"/>
    <n v="11"/>
    <n v="644"/>
    <n v="4.4510385756676563"/>
    <n v="95.548961424332347"/>
  </r>
  <r>
    <d v="2026-05-23T00:00:00"/>
    <s v="Line A"/>
    <x v="0"/>
    <x v="2"/>
    <x v="411"/>
    <n v="15"/>
    <n v="27"/>
    <n v="1037"/>
    <n v="1.4258555133079851"/>
    <n v="98.57414448669202"/>
  </r>
  <r>
    <d v="2026-05-23T00:00:00"/>
    <s v="Line A"/>
    <x v="1"/>
    <x v="3"/>
    <x v="200"/>
    <n v="11"/>
    <n v="88"/>
    <n v="780"/>
    <n v="1.390644753476612"/>
    <n v="98.609355246523393"/>
  </r>
  <r>
    <d v="2026-05-23T00:00:00"/>
    <s v="Line A"/>
    <x v="2"/>
    <x v="0"/>
    <x v="41"/>
    <n v="20"/>
    <n v="72"/>
    <n v="811"/>
    <n v="2.4067388688327318"/>
    <n v="97.593261131167267"/>
  </r>
  <r>
    <d v="2026-05-23T00:00:00"/>
    <s v="Line B"/>
    <x v="0"/>
    <x v="2"/>
    <x v="314"/>
    <n v="23"/>
    <n v="37"/>
    <n v="915"/>
    <n v="2.452025586353944"/>
    <n v="97.54797441364606"/>
  </r>
  <r>
    <d v="2026-05-23T00:00:00"/>
    <s v="Line B"/>
    <x v="1"/>
    <x v="0"/>
    <x v="37"/>
    <n v="20"/>
    <n v="54"/>
    <n v="785"/>
    <n v="2.4844720496894408"/>
    <n v="97.515527950310556"/>
  </r>
  <r>
    <d v="2026-05-23T00:00:00"/>
    <s v="Line B"/>
    <x v="2"/>
    <x v="3"/>
    <x v="71"/>
    <n v="26"/>
    <n v="53"/>
    <n v="726"/>
    <n v="3.457446808510638"/>
    <n v="96.542553191489361"/>
  </r>
  <r>
    <d v="2026-05-23T00:00:00"/>
    <s v="Line C"/>
    <x v="0"/>
    <x v="3"/>
    <x v="173"/>
    <n v="26"/>
    <n v="41"/>
    <n v="728"/>
    <n v="3.4482758620689649"/>
    <n v="96.551724137931032"/>
  </r>
  <r>
    <d v="2026-05-23T00:00:00"/>
    <s v="Line C"/>
    <x v="1"/>
    <x v="0"/>
    <x v="95"/>
    <n v="25"/>
    <n v="86"/>
    <n v="695"/>
    <n v="3.4722222222222219"/>
    <n v="96.527777777777786"/>
  </r>
  <r>
    <d v="2026-05-23T00:00:00"/>
    <s v="Line C"/>
    <x v="2"/>
    <x v="1"/>
    <x v="195"/>
    <n v="36"/>
    <n v="13"/>
    <n v="645"/>
    <n v="5.286343612334802"/>
    <n v="94.713656387665196"/>
  </r>
  <r>
    <d v="2026-05-24T00:00:00"/>
    <s v="Line A"/>
    <x v="0"/>
    <x v="3"/>
    <x v="132"/>
    <n v="13"/>
    <n v="50"/>
    <n v="884"/>
    <n v="1.449275362318841"/>
    <n v="98.550724637681171"/>
  </r>
  <r>
    <d v="2026-05-24T00:00:00"/>
    <s v="Line A"/>
    <x v="1"/>
    <x v="1"/>
    <x v="374"/>
    <n v="20"/>
    <n v="17"/>
    <n v="852"/>
    <n v="2.2935779816513762"/>
    <n v="97.706422018348633"/>
  </r>
  <r>
    <d v="2026-05-24T00:00:00"/>
    <s v="Line A"/>
    <x v="2"/>
    <x v="2"/>
    <x v="157"/>
    <n v="22"/>
    <n v="47"/>
    <n v="874"/>
    <n v="2.4553571428571428"/>
    <n v="97.544642857142861"/>
  </r>
  <r>
    <d v="2026-05-24T00:00:00"/>
    <s v="Line B"/>
    <x v="0"/>
    <x v="2"/>
    <x v="358"/>
    <n v="23"/>
    <n v="34"/>
    <n v="903"/>
    <n v="2.483801295896328"/>
    <n v="97.516198704103672"/>
  </r>
  <r>
    <d v="2026-05-24T00:00:00"/>
    <s v="Line B"/>
    <x v="1"/>
    <x v="1"/>
    <x v="277"/>
    <n v="22"/>
    <n v="69"/>
    <n v="673"/>
    <n v="3.16546762589928"/>
    <n v="96.834532374100718"/>
  </r>
  <r>
    <d v="2026-05-24T00:00:00"/>
    <s v="Line B"/>
    <x v="2"/>
    <x v="0"/>
    <x v="332"/>
    <n v="25"/>
    <n v="72"/>
    <n v="707"/>
    <n v="3.4153005464480879"/>
    <n v="96.58469945355192"/>
  </r>
  <r>
    <d v="2026-05-24T00:00:00"/>
    <s v="Line C"/>
    <x v="0"/>
    <x v="0"/>
    <x v="179"/>
    <n v="29"/>
    <n v="27"/>
    <n v="808"/>
    <n v="3.4647550776583032"/>
    <n v="96.535244922341704"/>
  </r>
  <r>
    <d v="2026-05-24T00:00:00"/>
    <s v="Line C"/>
    <x v="1"/>
    <x v="2"/>
    <x v="189"/>
    <n v="27"/>
    <n v="41"/>
    <n v="752"/>
    <n v="3.4659820282413349"/>
    <n v="96.534017971758672"/>
  </r>
  <r>
    <d v="2026-05-24T00:00:00"/>
    <s v="Line C"/>
    <x v="2"/>
    <x v="2"/>
    <x v="402"/>
    <n v="30"/>
    <n v="84"/>
    <n v="641"/>
    <n v="4.4709388971684056"/>
    <n v="95.529061102831591"/>
  </r>
  <r>
    <d v="2026-05-25T00:00:00"/>
    <s v="Line A"/>
    <x v="0"/>
    <x v="2"/>
    <x v="345"/>
    <n v="15"/>
    <n v="39"/>
    <n v="1021"/>
    <n v="1.4478764478764481"/>
    <n v="98.552123552123547"/>
  </r>
  <r>
    <d v="2026-05-25T00:00:00"/>
    <s v="Line A"/>
    <x v="1"/>
    <x v="1"/>
    <x v="159"/>
    <n v="18"/>
    <n v="82"/>
    <n v="778"/>
    <n v="2.2613065326633168"/>
    <n v="97.738693467336674"/>
  </r>
  <r>
    <d v="2026-05-25T00:00:00"/>
    <s v="Line A"/>
    <x v="2"/>
    <x v="3"/>
    <x v="160"/>
    <n v="20"/>
    <n v="67"/>
    <n v="782"/>
    <n v="2.4937655860349128"/>
    <n v="97.506234413965089"/>
  </r>
  <r>
    <d v="2026-05-25T00:00:00"/>
    <s v="Line B"/>
    <x v="0"/>
    <x v="3"/>
    <x v="98"/>
    <n v="19"/>
    <n v="49"/>
    <n v="766"/>
    <n v="2.4203821656050959"/>
    <n v="97.579617834394909"/>
  </r>
  <r>
    <d v="2026-05-25T00:00:00"/>
    <s v="Line B"/>
    <x v="1"/>
    <x v="3"/>
    <x v="258"/>
    <n v="20"/>
    <n v="23"/>
    <n v="804"/>
    <n v="2.4271844660194168"/>
    <n v="97.572815533980588"/>
  </r>
  <r>
    <d v="2026-05-25T00:00:00"/>
    <s v="Line B"/>
    <x v="2"/>
    <x v="1"/>
    <x v="412"/>
    <n v="28"/>
    <n v="37"/>
    <n v="644"/>
    <n v="4.1666666666666661"/>
    <n v="95.833333333333343"/>
  </r>
  <r>
    <d v="2026-05-25T00:00:00"/>
    <s v="Line C"/>
    <x v="1"/>
    <x v="0"/>
    <x v="284"/>
    <n v="26"/>
    <n v="65"/>
    <n v="732"/>
    <n v="3.4300791556728232"/>
    <n v="96.569920844327171"/>
  </r>
  <r>
    <d v="2026-05-25T00:00:00"/>
    <s v="Line C"/>
    <x v="2"/>
    <x v="3"/>
    <x v="347"/>
    <n v="26"/>
    <n v="85"/>
    <n v="569"/>
    <n v="4.3697478991596634"/>
    <n v="95.630252100840337"/>
  </r>
  <r>
    <d v="2026-05-26T00:00:00"/>
    <s v="Line A"/>
    <x v="0"/>
    <x v="0"/>
    <x v="295"/>
    <n v="14"/>
    <n v="66"/>
    <n v="942"/>
    <n v="1.464435146443515"/>
    <n v="98.535564853556494"/>
  </r>
  <r>
    <d v="2026-05-26T00:00:00"/>
    <s v="Line A"/>
    <x v="1"/>
    <x v="3"/>
    <x v="51"/>
    <n v="13"/>
    <n v="26"/>
    <n v="917"/>
    <n v="1.397849462365591"/>
    <n v="98.602150537634401"/>
  </r>
  <r>
    <d v="2026-05-26T00:00:00"/>
    <s v="Line A"/>
    <x v="2"/>
    <x v="0"/>
    <x v="122"/>
    <n v="21"/>
    <n v="53"/>
    <n v="849"/>
    <n v="2.4137931034482758"/>
    <n v="97.586206896551715"/>
  </r>
  <r>
    <d v="2026-05-26T00:00:00"/>
    <s v="Line B"/>
    <x v="0"/>
    <x v="0"/>
    <x v="203"/>
    <n v="21"/>
    <n v="69"/>
    <n v="828"/>
    <n v="2.473498233215548"/>
    <n v="97.526501766784463"/>
  </r>
  <r>
    <d v="2026-05-26T00:00:00"/>
    <s v="Line B"/>
    <x v="1"/>
    <x v="0"/>
    <x v="75"/>
    <n v="21"/>
    <n v="3"/>
    <n v="835"/>
    <n v="2.4532710280373831"/>
    <n v="97.546728971962608"/>
  </r>
  <r>
    <d v="2026-05-26T00:00:00"/>
    <s v="Line B"/>
    <x v="2"/>
    <x v="3"/>
    <x v="25"/>
    <n v="25"/>
    <n v="67"/>
    <n v="705"/>
    <n v="3.4246575342465748"/>
    <n v="96.575342465753423"/>
  </r>
  <r>
    <d v="2026-05-26T00:00:00"/>
    <s v="Line C"/>
    <x v="0"/>
    <x v="0"/>
    <x v="226"/>
    <n v="25"/>
    <n v="79"/>
    <n v="693"/>
    <n v="3.481894150417828"/>
    <n v="96.51810584958217"/>
  </r>
  <r>
    <d v="2026-05-26T00:00:00"/>
    <s v="Line C"/>
    <x v="1"/>
    <x v="3"/>
    <x v="56"/>
    <n v="25"/>
    <n v="38"/>
    <n v="708"/>
    <n v="3.4106412005457032"/>
    <n v="96.589358799454288"/>
  </r>
  <r>
    <d v="2026-05-26T00:00:00"/>
    <s v="Line C"/>
    <x v="2"/>
    <x v="0"/>
    <x v="413"/>
    <n v="31"/>
    <n v="51"/>
    <n v="660"/>
    <n v="4.4862518089725034"/>
    <n v="95.513748191027489"/>
  </r>
  <r>
    <d v="2026-05-27T00:00:00"/>
    <s v="Line A"/>
    <x v="0"/>
    <x v="3"/>
    <x v="201"/>
    <n v="12"/>
    <n v="75"/>
    <n v="811"/>
    <n v="1.458080194410692"/>
    <n v="98.541919805589302"/>
  </r>
  <r>
    <d v="2026-05-27T00:00:00"/>
    <s v="Line A"/>
    <x v="1"/>
    <x v="3"/>
    <x v="273"/>
    <n v="13"/>
    <n v="21"/>
    <n v="868"/>
    <n v="1.475595913734393"/>
    <n v="98.524404086265605"/>
  </r>
  <r>
    <d v="2026-05-27T00:00:00"/>
    <s v="Line A"/>
    <x v="2"/>
    <x v="0"/>
    <x v="386"/>
    <n v="23"/>
    <n v="18"/>
    <n v="912"/>
    <n v="2.4598930481283419"/>
    <n v="97.54010695187165"/>
  </r>
  <r>
    <d v="2026-05-27T00:00:00"/>
    <s v="Line B"/>
    <x v="0"/>
    <x v="1"/>
    <x v="186"/>
    <n v="26"/>
    <n v="15"/>
    <n v="774"/>
    <n v="3.25"/>
    <n v="96.75"/>
  </r>
  <r>
    <d v="2026-05-27T00:00:00"/>
    <s v="Line B"/>
    <x v="1"/>
    <x v="1"/>
    <x v="207"/>
    <n v="22"/>
    <n v="63"/>
    <n v="665"/>
    <n v="3.2023289665211059"/>
    <n v="96.797671033478892"/>
  </r>
  <r>
    <d v="2026-05-27T00:00:00"/>
    <s v="Line B"/>
    <x v="2"/>
    <x v="2"/>
    <x v="222"/>
    <n v="29"/>
    <n v="46"/>
    <n v="818"/>
    <n v="3.4238488783943328"/>
    <n v="96.576151121605676"/>
  </r>
  <r>
    <d v="2026-05-27T00:00:00"/>
    <s v="Line C"/>
    <x v="0"/>
    <x v="2"/>
    <x v="82"/>
    <n v="28"/>
    <n v="60"/>
    <n v="784"/>
    <n v="3.4482758620689649"/>
    <n v="96.551724137931032"/>
  </r>
  <r>
    <d v="2026-05-27T00:00:00"/>
    <s v="Line C"/>
    <x v="1"/>
    <x v="1"/>
    <x v="280"/>
    <n v="28"/>
    <n v="41"/>
    <n v="630"/>
    <n v="4.2553191489361701"/>
    <n v="95.744680851063833"/>
  </r>
  <r>
    <d v="2026-05-27T00:00:00"/>
    <s v="Line C"/>
    <x v="2"/>
    <x v="1"/>
    <x v="414"/>
    <n v="33"/>
    <n v="49"/>
    <n v="603"/>
    <n v="5.1886792452830193"/>
    <n v="94.811320754716974"/>
  </r>
  <r>
    <d v="2026-05-28T00:00:00"/>
    <s v="Line A"/>
    <x v="0"/>
    <x v="0"/>
    <x v="142"/>
    <n v="13"/>
    <n v="48"/>
    <n v="911"/>
    <n v="1.4069264069264069"/>
    <n v="98.593073593073584"/>
  </r>
  <r>
    <d v="2026-05-28T00:00:00"/>
    <s v="Line A"/>
    <x v="1"/>
    <x v="2"/>
    <x v="378"/>
    <n v="14"/>
    <n v="9"/>
    <n v="971"/>
    <n v="1.421319796954315"/>
    <n v="98.578680203045693"/>
  </r>
  <r>
    <d v="2026-05-28T00:00:00"/>
    <s v="Line A"/>
    <x v="2"/>
    <x v="0"/>
    <x v="264"/>
    <n v="19"/>
    <n v="66"/>
    <n v="768"/>
    <n v="2.4142312579415499"/>
    <n v="97.585768742058448"/>
  </r>
  <r>
    <d v="2026-05-28T00:00:00"/>
    <s v="Line B"/>
    <x v="0"/>
    <x v="0"/>
    <x v="343"/>
    <n v="20"/>
    <n v="77"/>
    <n v="812"/>
    <n v="2.4038461538461542"/>
    <n v="97.59615384615384"/>
  </r>
  <r>
    <d v="2026-05-28T00:00:00"/>
    <s v="Line B"/>
    <x v="1"/>
    <x v="0"/>
    <x v="55"/>
    <n v="21"/>
    <n v="11"/>
    <n v="822"/>
    <n v="2.4911032028469751"/>
    <n v="97.508896797153028"/>
  </r>
  <r>
    <d v="2026-05-28T00:00:00"/>
    <s v="Line B"/>
    <x v="2"/>
    <x v="2"/>
    <x v="25"/>
    <n v="25"/>
    <n v="83"/>
    <n v="705"/>
    <n v="3.4246575342465748"/>
    <n v="96.575342465753423"/>
  </r>
  <r>
    <d v="2026-05-28T00:00:00"/>
    <s v="Line C"/>
    <x v="0"/>
    <x v="3"/>
    <x v="111"/>
    <n v="26"/>
    <n v="61"/>
    <n v="717"/>
    <n v="3.4993270524899049"/>
    <n v="96.500672947510097"/>
  </r>
  <r>
    <d v="2026-05-28T00:00:00"/>
    <s v="Line C"/>
    <x v="1"/>
    <x v="1"/>
    <x v="357"/>
    <n v="29"/>
    <n v="12"/>
    <n v="653"/>
    <n v="4.2521994134897358"/>
    <n v="95.747800586510266"/>
  </r>
  <r>
    <d v="2026-05-28T00:00:00"/>
    <s v="Line C"/>
    <x v="2"/>
    <x v="0"/>
    <x v="389"/>
    <n v="30"/>
    <n v="79"/>
    <n v="639"/>
    <n v="4.4843049327354256"/>
    <n v="95.515695067264573"/>
  </r>
  <r>
    <d v="2026-05-29T00:00:00"/>
    <s v="Line A"/>
    <x v="0"/>
    <x v="2"/>
    <x v="35"/>
    <n v="14"/>
    <n v="70"/>
    <n v="975"/>
    <n v="1.4155712841253789"/>
    <n v="98.584428715874623"/>
  </r>
  <r>
    <d v="2026-05-29T00:00:00"/>
    <s v="Line A"/>
    <x v="1"/>
    <x v="3"/>
    <x v="123"/>
    <n v="12"/>
    <n v="59"/>
    <n v="823"/>
    <n v="1.437125748502994"/>
    <n v="98.562874251497007"/>
  </r>
  <r>
    <d v="2026-05-29T00:00:00"/>
    <s v="Line A"/>
    <x v="2"/>
    <x v="1"/>
    <x v="163"/>
    <n v="24"/>
    <n v="53"/>
    <n v="727"/>
    <n v="3.1957390146471369"/>
    <n v="96.804260985352869"/>
  </r>
  <r>
    <d v="2026-05-29T00:00:00"/>
    <s v="Line B"/>
    <x v="0"/>
    <x v="0"/>
    <x v="251"/>
    <n v="20"/>
    <n v="48"/>
    <n v="816"/>
    <n v="2.392344497607656"/>
    <n v="97.607655502392348"/>
  </r>
  <r>
    <d v="2026-05-29T00:00:00"/>
    <s v="Line B"/>
    <x v="1"/>
    <x v="0"/>
    <x v="293"/>
    <n v="21"/>
    <n v="38"/>
    <n v="825"/>
    <n v="2.4822695035461"/>
    <n v="97.517730496453908"/>
  </r>
  <r>
    <d v="2026-05-29T00:00:00"/>
    <s v="Line B"/>
    <x v="2"/>
    <x v="2"/>
    <x v="31"/>
    <n v="27"/>
    <n v="46"/>
    <n v="765"/>
    <n v="3.4090909090909092"/>
    <n v="96.590909090909093"/>
  </r>
  <r>
    <d v="2026-05-29T00:00:00"/>
    <s v="Line C"/>
    <x v="0"/>
    <x v="3"/>
    <x v="356"/>
    <n v="24"/>
    <n v="77"/>
    <n v="676"/>
    <n v="3.4285714285714288"/>
    <n v="96.571428571428569"/>
  </r>
  <r>
    <d v="2026-05-29T00:00:00"/>
    <s v="Line C"/>
    <x v="1"/>
    <x v="3"/>
    <x v="172"/>
    <n v="25"/>
    <n v="2"/>
    <n v="715"/>
    <n v="3.378378378378379"/>
    <n v="96.621621621621628"/>
  </r>
  <r>
    <d v="2026-05-29T00:00:00"/>
    <s v="Line C"/>
    <x v="2"/>
    <x v="1"/>
    <x v="34"/>
    <n v="35"/>
    <n v="16"/>
    <n v="633"/>
    <n v="5.2395209580838316"/>
    <n v="94.76047904191617"/>
  </r>
  <r>
    <d v="2026-05-30T00:00:00"/>
    <s v="Line A"/>
    <x v="0"/>
    <x v="0"/>
    <x v="366"/>
    <n v="15"/>
    <n v="10"/>
    <n v="1019"/>
    <n v="1.4506769825918759"/>
    <n v="98.549323017408113"/>
  </r>
  <r>
    <d v="2026-05-30T00:00:00"/>
    <s v="Line A"/>
    <x v="1"/>
    <x v="1"/>
    <x v="24"/>
    <n v="17"/>
    <n v="89"/>
    <n v="733"/>
    <n v="2.2666666666666671"/>
    <n v="97.733333333333334"/>
  </r>
  <r>
    <d v="2026-05-30T00:00:00"/>
    <s v="Line A"/>
    <x v="2"/>
    <x v="1"/>
    <x v="216"/>
    <n v="23"/>
    <n v="87"/>
    <n v="704"/>
    <n v="3.1636863823933981"/>
    <n v="96.836313617606606"/>
  </r>
  <r>
    <d v="2026-05-30T00:00:00"/>
    <s v="Line B"/>
    <x v="0"/>
    <x v="1"/>
    <x v="37"/>
    <n v="26"/>
    <n v="48"/>
    <n v="779"/>
    <n v="3.2298136645962732"/>
    <n v="96.770186335403736"/>
  </r>
  <r>
    <d v="2026-05-30T00:00:00"/>
    <s v="Line B"/>
    <x v="1"/>
    <x v="1"/>
    <x v="388"/>
    <n v="22"/>
    <n v="66"/>
    <n v="668"/>
    <n v="3.1884057971014488"/>
    <n v="96.811594202898561"/>
  </r>
  <r>
    <d v="2026-05-30T00:00:00"/>
    <s v="Line B"/>
    <x v="2"/>
    <x v="1"/>
    <x v="42"/>
    <n v="29"/>
    <n v="27"/>
    <n v="650"/>
    <n v="4.2709867452135493"/>
    <n v="95.729013254786452"/>
  </r>
  <r>
    <d v="2026-05-30T00:00:00"/>
    <s v="Line C"/>
    <x v="0"/>
    <x v="2"/>
    <x v="250"/>
    <n v="27"/>
    <n v="60"/>
    <n v="754"/>
    <n v="3.4571062740076832"/>
    <n v="96.542893725992315"/>
  </r>
  <r>
    <d v="2026-05-30T00:00:00"/>
    <s v="Line C"/>
    <x v="1"/>
    <x v="3"/>
    <x v="85"/>
    <n v="27"/>
    <n v="0"/>
    <n v="746"/>
    <n v="3.492884864165589"/>
    <n v="96.507115135834411"/>
  </r>
  <r>
    <d v="2026-05-30T00:00:00"/>
    <s v="Line C"/>
    <x v="2"/>
    <x v="3"/>
    <x v="152"/>
    <n v="30"/>
    <n v="31"/>
    <n v="646"/>
    <n v="4.4378698224852071"/>
    <n v="95.562130177514788"/>
  </r>
  <r>
    <d v="2026-05-31T00:00:00"/>
    <s v="Line A"/>
    <x v="0"/>
    <x v="1"/>
    <x v="46"/>
    <n v="19"/>
    <n v="90"/>
    <n v="811"/>
    <n v="2.2891566265060241"/>
    <n v="97.710843373493972"/>
  </r>
  <r>
    <d v="2026-05-31T00:00:00"/>
    <s v="Line A"/>
    <x v="1"/>
    <x v="1"/>
    <x v="62"/>
    <n v="19"/>
    <n v="20"/>
    <n v="841"/>
    <n v="2.2093023255813948"/>
    <n v="97.79069767441861"/>
  </r>
  <r>
    <d v="2026-05-31T00:00:00"/>
    <s v="Line A"/>
    <x v="2"/>
    <x v="2"/>
    <x v="57"/>
    <n v="25"/>
    <n v="1"/>
    <n v="975"/>
    <n v="2.5"/>
    <n v="97.5"/>
  </r>
  <r>
    <d v="2026-05-31T00:00:00"/>
    <s v="Line B"/>
    <x v="0"/>
    <x v="2"/>
    <x v="57"/>
    <n v="25"/>
    <n v="26"/>
    <n v="975"/>
    <n v="2.5"/>
    <n v="97.5"/>
  </r>
  <r>
    <d v="2026-05-31T00:00:00"/>
    <s v="Line B"/>
    <x v="1"/>
    <x v="2"/>
    <x v="103"/>
    <n v="22"/>
    <n v="17"/>
    <n v="863"/>
    <n v="2.485875706214689"/>
    <n v="97.514124293785315"/>
  </r>
  <r>
    <d v="2026-05-31T00:00:00"/>
    <s v="Line B"/>
    <x v="2"/>
    <x v="3"/>
    <x v="259"/>
    <n v="25"/>
    <n v="69"/>
    <n v="700"/>
    <n v="3.4482758620689649"/>
    <n v="96.551724137931032"/>
  </r>
  <r>
    <d v="2026-05-31T00:00:00"/>
    <s v="Line C"/>
    <x v="0"/>
    <x v="1"/>
    <x v="7"/>
    <n v="28"/>
    <n v="77"/>
    <n v="632"/>
    <n v="4.2424242424242431"/>
    <n v="95.757575757575751"/>
  </r>
  <r>
    <d v="2026-05-31T00:00:00"/>
    <s v="Line C"/>
    <x v="1"/>
    <x v="1"/>
    <x v="412"/>
    <n v="28"/>
    <n v="37"/>
    <n v="644"/>
    <n v="4.1666666666666661"/>
    <n v="95.833333333333343"/>
  </r>
  <r>
    <d v="2026-05-31T00:00:00"/>
    <s v="Line C"/>
    <x v="2"/>
    <x v="3"/>
    <x v="171"/>
    <n v="30"/>
    <n v="45"/>
    <n v="654"/>
    <n v="4.3859649122807012"/>
    <n v="95.614035087719301"/>
  </r>
  <r>
    <d v="2026-06-01T00:00:00"/>
    <s v="Line A"/>
    <x v="0"/>
    <x v="0"/>
    <x v="415"/>
    <n v="15"/>
    <n v="36"/>
    <n v="1012"/>
    <n v="1.4605647517039919"/>
    <n v="98.539435248296002"/>
  </r>
  <r>
    <d v="2026-06-01T00:00:00"/>
    <s v="Line A"/>
    <x v="1"/>
    <x v="3"/>
    <x v="58"/>
    <n v="13"/>
    <n v="37"/>
    <n v="877"/>
    <n v="1.460674157303371"/>
    <n v="98.539325842696641"/>
  </r>
  <r>
    <d v="2026-06-01T00:00:00"/>
    <s v="Line A"/>
    <x v="2"/>
    <x v="2"/>
    <x v="103"/>
    <n v="22"/>
    <n v="25"/>
    <n v="863"/>
    <n v="2.485875706214689"/>
    <n v="97.514124293785315"/>
  </r>
  <r>
    <d v="2026-06-01T00:00:00"/>
    <s v="Line B"/>
    <x v="0"/>
    <x v="2"/>
    <x v="271"/>
    <n v="21"/>
    <n v="80"/>
    <n v="855"/>
    <n v="2.397260273972603"/>
    <n v="97.602739726027394"/>
  </r>
  <r>
    <d v="2026-06-01T00:00:00"/>
    <s v="Line B"/>
    <x v="1"/>
    <x v="3"/>
    <x v="14"/>
    <n v="20"/>
    <n v="36"/>
    <n v="794"/>
    <n v="2.4570024570024569"/>
    <n v="97.54299754299754"/>
  </r>
  <r>
    <d v="2026-06-01T00:00:00"/>
    <s v="Line B"/>
    <x v="2"/>
    <x v="2"/>
    <x v="241"/>
    <n v="26"/>
    <n v="82"/>
    <n v="735"/>
    <n v="3.4165571616294348"/>
    <n v="96.583442838370573"/>
  </r>
  <r>
    <d v="2026-06-01T00:00:00"/>
    <s v="Line C"/>
    <x v="0"/>
    <x v="3"/>
    <x v="195"/>
    <n v="23"/>
    <n v="71"/>
    <n v="658"/>
    <n v="3.3773861967694572"/>
    <n v="96.622613803230536"/>
  </r>
  <r>
    <d v="2026-06-01T00:00:00"/>
    <s v="Line C"/>
    <x v="1"/>
    <x v="3"/>
    <x v="49"/>
    <n v="25"/>
    <n v="41"/>
    <n v="699"/>
    <n v="3.45303867403315"/>
    <n v="96.546961325966848"/>
  </r>
  <r>
    <d v="2026-06-01T00:00:00"/>
    <s v="Line C"/>
    <x v="2"/>
    <x v="0"/>
    <x v="249"/>
    <n v="28"/>
    <n v="73"/>
    <n v="613"/>
    <n v="4.3681747269890794"/>
    <n v="95.631825273010918"/>
  </r>
  <r>
    <d v="2026-06-02T00:00:00"/>
    <s v="Line A"/>
    <x v="0"/>
    <x v="0"/>
    <x v="390"/>
    <n v="13"/>
    <n v="79"/>
    <n v="909"/>
    <n v="1.40997830802603"/>
    <n v="98.590021691973973"/>
  </r>
  <r>
    <d v="2026-06-02T00:00:00"/>
    <s v="Line A"/>
    <x v="1"/>
    <x v="0"/>
    <x v="91"/>
    <n v="13"/>
    <n v="59"/>
    <n v="881"/>
    <n v="1.4541387024608501"/>
    <n v="98.545861297539147"/>
  </r>
  <r>
    <d v="2026-06-02T00:00:00"/>
    <s v="Line A"/>
    <x v="2"/>
    <x v="0"/>
    <x v="288"/>
    <n v="22"/>
    <n v="1"/>
    <n v="893"/>
    <n v="2.404371584699454"/>
    <n v="97.595628415300553"/>
  </r>
  <r>
    <d v="2026-06-02T00:00:00"/>
    <s v="Line B"/>
    <x v="0"/>
    <x v="3"/>
    <x v="297"/>
    <n v="21"/>
    <n v="30"/>
    <n v="834"/>
    <n v="2.4561403508771931"/>
    <n v="97.543859649122808"/>
  </r>
  <r>
    <d v="2026-06-02T00:00:00"/>
    <s v="Line B"/>
    <x v="1"/>
    <x v="1"/>
    <x v="210"/>
    <n v="22"/>
    <n v="77"/>
    <n v="667"/>
    <n v="3.1930333817126271"/>
    <n v="96.806966618287376"/>
  </r>
  <r>
    <d v="2026-06-02T00:00:00"/>
    <s v="Line B"/>
    <x v="2"/>
    <x v="0"/>
    <x v="42"/>
    <n v="23"/>
    <n v="87"/>
    <n v="656"/>
    <n v="3.3873343151693671"/>
    <n v="96.612665684830631"/>
  </r>
  <r>
    <d v="2026-06-02T00:00:00"/>
    <s v="Line C"/>
    <x v="0"/>
    <x v="3"/>
    <x v="83"/>
    <n v="27"/>
    <n v="39"/>
    <n v="751"/>
    <n v="3.4704370179948589"/>
    <n v="96.529562982005146"/>
  </r>
  <r>
    <d v="2026-06-02T00:00:00"/>
    <s v="Line C"/>
    <x v="1"/>
    <x v="2"/>
    <x v="59"/>
    <n v="25"/>
    <n v="78"/>
    <n v="701"/>
    <n v="3.443526170798898"/>
    <n v="96.55647382920111"/>
  </r>
  <r>
    <d v="2026-06-02T00:00:00"/>
    <s v="Line C"/>
    <x v="2"/>
    <x v="3"/>
    <x v="416"/>
    <n v="28"/>
    <n v="54"/>
    <n v="597"/>
    <n v="4.4800000000000004"/>
    <n v="95.52000000000001"/>
  </r>
  <r>
    <d v="2026-06-03T00:00:00"/>
    <s v="Line A"/>
    <x v="0"/>
    <x v="3"/>
    <x v="104"/>
    <n v="13"/>
    <n v="80"/>
    <n v="865"/>
    <n v="1.480637813211845"/>
    <n v="98.519362186788157"/>
  </r>
  <r>
    <d v="2026-06-03T00:00:00"/>
    <s v="Line A"/>
    <x v="1"/>
    <x v="1"/>
    <x v="283"/>
    <n v="20"/>
    <n v="2"/>
    <n v="864"/>
    <n v="2.2624434389140271"/>
    <n v="97.737556561085967"/>
  </r>
  <r>
    <d v="2026-06-03T00:00:00"/>
    <s v="Line A"/>
    <x v="2"/>
    <x v="0"/>
    <x v="181"/>
    <n v="19"/>
    <n v="87"/>
    <n v="765"/>
    <n v="2.4234693877551021"/>
    <n v="97.576530612244895"/>
  </r>
  <r>
    <d v="2026-06-03T00:00:00"/>
    <s v="Line B"/>
    <x v="0"/>
    <x v="3"/>
    <x v="135"/>
    <n v="22"/>
    <n v="23"/>
    <n v="869"/>
    <n v="2.4691358024691361"/>
    <n v="97.53086419753086"/>
  </r>
  <r>
    <d v="2026-06-03T00:00:00"/>
    <s v="Line B"/>
    <x v="1"/>
    <x v="2"/>
    <x v="91"/>
    <n v="22"/>
    <n v="26"/>
    <n v="872"/>
    <n v="2.4608501118568231"/>
    <n v="97.539149888143172"/>
  </r>
  <r>
    <d v="2026-06-03T00:00:00"/>
    <s v="Line B"/>
    <x v="2"/>
    <x v="3"/>
    <x v="259"/>
    <n v="25"/>
    <n v="37"/>
    <n v="700"/>
    <n v="3.4482758620689649"/>
    <n v="96.551724137931032"/>
  </r>
  <r>
    <d v="2026-06-03T00:00:00"/>
    <s v="Line C"/>
    <x v="0"/>
    <x v="1"/>
    <x v="339"/>
    <n v="31"/>
    <n v="36"/>
    <n v="710"/>
    <n v="4.1835357624831309"/>
    <n v="95.816464237516868"/>
  </r>
  <r>
    <d v="2026-06-03T00:00:00"/>
    <s v="Line C"/>
    <x v="1"/>
    <x v="3"/>
    <x v="417"/>
    <n v="26"/>
    <n v="1"/>
    <n v="730"/>
    <n v="3.4391534391534391"/>
    <n v="96.560846560846556"/>
  </r>
  <r>
    <d v="2026-06-03T00:00:00"/>
    <s v="Line C"/>
    <x v="2"/>
    <x v="1"/>
    <x v="341"/>
    <n v="34"/>
    <n v="0"/>
    <n v="615"/>
    <n v="5.2388289676425268"/>
    <n v="94.761171032357467"/>
  </r>
  <r>
    <d v="2026-06-04T00:00:00"/>
    <s v="Line A"/>
    <x v="0"/>
    <x v="3"/>
    <x v="297"/>
    <n v="12"/>
    <n v="72"/>
    <n v="843"/>
    <n v="1.403508771929824"/>
    <n v="98.596491228070164"/>
  </r>
  <r>
    <d v="2026-06-04T00:00:00"/>
    <s v="Line A"/>
    <x v="1"/>
    <x v="1"/>
    <x v="271"/>
    <n v="20"/>
    <n v="30"/>
    <n v="856"/>
    <n v="2.2831050228310499"/>
    <n v="97.716894977168948"/>
  </r>
  <r>
    <d v="2026-06-04T00:00:00"/>
    <s v="Line A"/>
    <x v="2"/>
    <x v="3"/>
    <x v="58"/>
    <n v="22"/>
    <n v="6"/>
    <n v="868"/>
    <n v="2.4719101123595499"/>
    <n v="97.528089887640448"/>
  </r>
  <r>
    <d v="2026-06-04T00:00:00"/>
    <s v="Line B"/>
    <x v="0"/>
    <x v="3"/>
    <x v="225"/>
    <n v="18"/>
    <n v="77"/>
    <n v="730"/>
    <n v="2.4064171122994651"/>
    <n v="97.593582887700535"/>
  </r>
  <r>
    <d v="2026-06-04T00:00:00"/>
    <s v="Line B"/>
    <x v="1"/>
    <x v="3"/>
    <x v="268"/>
    <n v="20"/>
    <n v="15"/>
    <n v="814"/>
    <n v="2.398081534772182"/>
    <n v="97.601918465227826"/>
  </r>
  <r>
    <d v="2026-06-04T00:00:00"/>
    <s v="Line B"/>
    <x v="2"/>
    <x v="2"/>
    <x v="30"/>
    <n v="26"/>
    <n v="79"/>
    <n v="731"/>
    <n v="3.4346103038309121"/>
    <n v="96.565389696169092"/>
  </r>
  <r>
    <d v="2026-06-04T00:00:00"/>
    <s v="Line C"/>
    <x v="0"/>
    <x v="0"/>
    <x v="186"/>
    <n v="28"/>
    <n v="13"/>
    <n v="772"/>
    <n v="3.5"/>
    <n v="96.5"/>
  </r>
  <r>
    <d v="2026-06-04T00:00:00"/>
    <s v="Line C"/>
    <x v="1"/>
    <x v="1"/>
    <x v="357"/>
    <n v="29"/>
    <n v="43"/>
    <n v="653"/>
    <n v="4.2521994134897358"/>
    <n v="95.747800586510266"/>
  </r>
  <r>
    <d v="2026-06-04T00:00:00"/>
    <s v="Line C"/>
    <x v="2"/>
    <x v="0"/>
    <x v="4"/>
    <n v="32"/>
    <n v="9"/>
    <n v="684"/>
    <n v="4.4692737430167604"/>
    <n v="95.530726256983243"/>
  </r>
  <r>
    <d v="2026-06-05T00:00:00"/>
    <s v="Line A"/>
    <x v="0"/>
    <x v="1"/>
    <x v="157"/>
    <n v="20"/>
    <n v="47"/>
    <n v="876"/>
    <n v="2.2321428571428572"/>
    <n v="97.767857142857139"/>
  </r>
  <r>
    <d v="2026-06-05T00:00:00"/>
    <s v="Line A"/>
    <x v="1"/>
    <x v="0"/>
    <x v="276"/>
    <n v="13"/>
    <n v="54"/>
    <n v="888"/>
    <n v="1.44284128745838"/>
    <n v="98.557158712541622"/>
  </r>
  <r>
    <d v="2026-06-05T00:00:00"/>
    <s v="Line A"/>
    <x v="2"/>
    <x v="2"/>
    <x v="234"/>
    <n v="21"/>
    <n v="78"/>
    <n v="847"/>
    <n v="2.419354838709677"/>
    <n v="97.58064516129032"/>
  </r>
  <r>
    <d v="2026-06-05T00:00:00"/>
    <s v="Line B"/>
    <x v="0"/>
    <x v="1"/>
    <x v="241"/>
    <n v="25"/>
    <n v="83"/>
    <n v="736"/>
    <n v="3.2851511169513801"/>
    <n v="96.714848883048617"/>
  </r>
  <r>
    <d v="2026-06-05T00:00:00"/>
    <s v="Line B"/>
    <x v="1"/>
    <x v="3"/>
    <x v="231"/>
    <n v="20"/>
    <n v="19"/>
    <n v="791"/>
    <n v="2.466091245376079"/>
    <n v="97.533908754623923"/>
  </r>
  <r>
    <d v="2026-06-05T00:00:00"/>
    <s v="Line B"/>
    <x v="2"/>
    <x v="1"/>
    <x v="384"/>
    <n v="28"/>
    <n v="71"/>
    <n v="635"/>
    <n v="4.2232277526395174"/>
    <n v="95.776772247360483"/>
  </r>
  <r>
    <d v="2026-06-05T00:00:00"/>
    <s v="Line C"/>
    <x v="0"/>
    <x v="3"/>
    <x v="49"/>
    <n v="25"/>
    <n v="44"/>
    <n v="699"/>
    <n v="3.45303867403315"/>
    <n v="96.546961325966848"/>
  </r>
  <r>
    <d v="2026-06-05T00:00:00"/>
    <s v="Line C"/>
    <x v="1"/>
    <x v="2"/>
    <x v="78"/>
    <n v="28"/>
    <n v="21"/>
    <n v="787"/>
    <n v="3.4355828220858902"/>
    <n v="96.564417177914109"/>
  </r>
  <r>
    <d v="2026-06-05T00:00:00"/>
    <s v="Line C"/>
    <x v="2"/>
    <x v="2"/>
    <x v="158"/>
    <n v="33"/>
    <n v="52"/>
    <n v="714"/>
    <n v="4.4176706827309236"/>
    <n v="95.582329317269071"/>
  </r>
  <r>
    <d v="2026-06-06T00:00:00"/>
    <s v="Line A"/>
    <x v="0"/>
    <x v="0"/>
    <x v="178"/>
    <n v="12"/>
    <n v="80"/>
    <n v="849"/>
    <n v="1.393728222996516"/>
    <n v="98.606271777003485"/>
  </r>
  <r>
    <d v="2026-06-06T00:00:00"/>
    <s v="Line A"/>
    <x v="1"/>
    <x v="1"/>
    <x v="89"/>
    <n v="17"/>
    <n v="81"/>
    <n v="732"/>
    <n v="2.2696929238985319"/>
    <n v="97.730307076101468"/>
  </r>
  <r>
    <d v="2026-06-06T00:00:00"/>
    <s v="Line A"/>
    <x v="2"/>
    <x v="1"/>
    <x v="159"/>
    <n v="26"/>
    <n v="30"/>
    <n v="770"/>
    <n v="3.266331658291457"/>
    <n v="96.733668341708551"/>
  </r>
  <r>
    <d v="2026-06-06T00:00:00"/>
    <s v="Line B"/>
    <x v="0"/>
    <x v="3"/>
    <x v="159"/>
    <n v="19"/>
    <n v="51"/>
    <n v="777"/>
    <n v="2.386934673366834"/>
    <n v="97.613065326633162"/>
  </r>
  <r>
    <d v="2026-06-06T00:00:00"/>
    <s v="Line B"/>
    <x v="1"/>
    <x v="0"/>
    <x v="164"/>
    <n v="20"/>
    <n v="31"/>
    <n v="800"/>
    <n v="2.4390243902439019"/>
    <n v="97.560975609756099"/>
  </r>
  <r>
    <d v="2026-06-06T00:00:00"/>
    <s v="Line B"/>
    <x v="2"/>
    <x v="2"/>
    <x v="126"/>
    <n v="28"/>
    <n v="27"/>
    <n v="793"/>
    <n v="3.4104750304506699"/>
    <n v="96.589524969549331"/>
  </r>
  <r>
    <d v="2026-06-06T00:00:00"/>
    <s v="Line C"/>
    <x v="0"/>
    <x v="2"/>
    <x v="183"/>
    <n v="27"/>
    <n v="68"/>
    <n v="748"/>
    <n v="3.4838709677419351"/>
    <n v="96.516129032258064"/>
  </r>
  <r>
    <d v="2026-06-06T00:00:00"/>
    <s v="Line C"/>
    <x v="1"/>
    <x v="0"/>
    <x v="215"/>
    <n v="26"/>
    <n v="50"/>
    <n v="743"/>
    <n v="3.3810143042912881"/>
    <n v="96.618985695708716"/>
  </r>
  <r>
    <d v="2026-06-06T00:00:00"/>
    <s v="Line C"/>
    <x v="2"/>
    <x v="2"/>
    <x v="125"/>
    <n v="33"/>
    <n v="29"/>
    <n v="704"/>
    <n v="4.4776119402985071"/>
    <n v="95.522388059701484"/>
  </r>
  <r>
    <d v="2026-06-07T00:00:00"/>
    <s v="Line A"/>
    <x v="0"/>
    <x v="1"/>
    <x v="39"/>
    <n v="19"/>
    <n v="64"/>
    <n v="838"/>
    <n v="2.2170361726954488"/>
    <n v="97.782963827304542"/>
  </r>
  <r>
    <d v="2026-06-07T00:00:00"/>
    <s v="Line A"/>
    <x v="1"/>
    <x v="2"/>
    <x v="349"/>
    <n v="15"/>
    <n v="26"/>
    <n v="999"/>
    <n v="1.4792899408284019"/>
    <n v="98.520710059171606"/>
  </r>
  <r>
    <d v="2026-06-07T00:00:00"/>
    <s v="Line A"/>
    <x v="2"/>
    <x v="0"/>
    <x v="323"/>
    <n v="21"/>
    <n v="6"/>
    <n v="845"/>
    <n v="2.424942263279446"/>
    <n v="97.575057736720552"/>
  </r>
  <r>
    <d v="2026-06-07T00:00:00"/>
    <s v="Line B"/>
    <x v="0"/>
    <x v="2"/>
    <x v="314"/>
    <n v="23"/>
    <n v="13"/>
    <n v="915"/>
    <n v="2.452025586353944"/>
    <n v="97.54797441364606"/>
  </r>
  <r>
    <d v="2026-06-07T00:00:00"/>
    <s v="Line B"/>
    <x v="1"/>
    <x v="1"/>
    <x v="89"/>
    <n v="24"/>
    <n v="66"/>
    <n v="725"/>
    <n v="3.2042723631508681"/>
    <n v="96.795727636849122"/>
  </r>
  <r>
    <d v="2026-06-07T00:00:00"/>
    <s v="Line B"/>
    <x v="2"/>
    <x v="2"/>
    <x v="5"/>
    <n v="27"/>
    <n v="61"/>
    <n v="756"/>
    <n v="3.4482758620689649"/>
    <n v="96.551724137931032"/>
  </r>
  <r>
    <d v="2026-06-07T00:00:00"/>
    <s v="Line C"/>
    <x v="0"/>
    <x v="1"/>
    <x v="171"/>
    <n v="29"/>
    <n v="48"/>
    <n v="655"/>
    <n v="4.2397660818713447"/>
    <n v="95.760233918128662"/>
  </r>
  <r>
    <d v="2026-06-07T00:00:00"/>
    <s v="Line C"/>
    <x v="1"/>
    <x v="2"/>
    <x v="268"/>
    <n v="29"/>
    <n v="26"/>
    <n v="805"/>
    <n v="3.477218225419664"/>
    <n v="96.522781774580338"/>
  </r>
  <r>
    <d v="2026-06-07T00:00:00"/>
    <s v="Line C"/>
    <x v="2"/>
    <x v="2"/>
    <x v="145"/>
    <n v="32"/>
    <n v="40"/>
    <n v="685"/>
    <n v="4.4630404463040447"/>
    <n v="95.536959553695951"/>
  </r>
  <r>
    <d v="2026-06-08T00:00:00"/>
    <s v="Line A"/>
    <x v="0"/>
    <x v="0"/>
    <x v="418"/>
    <n v="14"/>
    <n v="63"/>
    <n v="939"/>
    <n v="1.4690451206715629"/>
    <n v="98.530954879328434"/>
  </r>
  <r>
    <d v="2026-06-08T00:00:00"/>
    <s v="Line A"/>
    <x v="1"/>
    <x v="2"/>
    <x v="408"/>
    <n v="15"/>
    <n v="15"/>
    <n v="992"/>
    <n v="1.4895729890764651"/>
    <n v="98.510427010923536"/>
  </r>
  <r>
    <d v="2026-06-08T00:00:00"/>
    <s v="Line A"/>
    <x v="2"/>
    <x v="3"/>
    <x v="183"/>
    <n v="19"/>
    <n v="59"/>
    <n v="756"/>
    <n v="2.4516129032258061"/>
    <n v="97.548387096774192"/>
  </r>
  <r>
    <d v="2026-06-08T00:00:00"/>
    <s v="Line B"/>
    <x v="0"/>
    <x v="1"/>
    <x v="14"/>
    <n v="26"/>
    <n v="4"/>
    <n v="788"/>
    <n v="3.1941031941031941"/>
    <n v="96.805896805896808"/>
  </r>
  <r>
    <d v="2026-06-08T00:00:00"/>
    <s v="Line B"/>
    <x v="1"/>
    <x v="0"/>
    <x v="242"/>
    <n v="22"/>
    <n v="7"/>
    <n v="860"/>
    <n v="2.4943310657596371"/>
    <n v="97.505668934240362"/>
  </r>
  <r>
    <d v="2026-06-08T00:00:00"/>
    <s v="Line B"/>
    <x v="2"/>
    <x v="1"/>
    <x v="40"/>
    <n v="28"/>
    <n v="69"/>
    <n v="631"/>
    <n v="4.2488619119878601"/>
    <n v="95.751138088012141"/>
  </r>
  <r>
    <d v="2026-06-08T00:00:00"/>
    <s v="Line C"/>
    <x v="0"/>
    <x v="0"/>
    <x v="293"/>
    <n v="29"/>
    <n v="17"/>
    <n v="817"/>
    <n v="3.4278959810874712"/>
    <n v="96.572104018912526"/>
  </r>
  <r>
    <d v="2026-06-08T00:00:00"/>
    <s v="Line C"/>
    <x v="1"/>
    <x v="0"/>
    <x v="5"/>
    <n v="27"/>
    <n v="30"/>
    <n v="756"/>
    <n v="3.4482758620689649"/>
    <n v="96.551724137931032"/>
  </r>
  <r>
    <d v="2026-06-08T00:00:00"/>
    <s v="Line C"/>
    <x v="2"/>
    <x v="1"/>
    <x v="211"/>
    <n v="34"/>
    <n v="5"/>
    <n v="613"/>
    <n v="5.2550231839258119"/>
    <n v="94.744976816074185"/>
  </r>
  <r>
    <d v="2026-06-09T00:00:00"/>
    <s v="Line A"/>
    <x v="0"/>
    <x v="1"/>
    <x v="160"/>
    <n v="18"/>
    <n v="77"/>
    <n v="784"/>
    <n v="2.244389027431422"/>
    <n v="97.755610972568576"/>
  </r>
  <r>
    <d v="2026-06-09T00:00:00"/>
    <s v="Line A"/>
    <x v="1"/>
    <x v="2"/>
    <x v="419"/>
    <n v="15"/>
    <n v="7"/>
    <n v="1024"/>
    <n v="1.4436958614051969"/>
    <n v="98.556304138594811"/>
  </r>
  <r>
    <d v="2026-06-09T00:00:00"/>
    <s v="Line A"/>
    <x v="2"/>
    <x v="3"/>
    <x v="231"/>
    <n v="20"/>
    <n v="62"/>
    <n v="791"/>
    <n v="2.466091245376079"/>
    <n v="97.533908754623923"/>
  </r>
  <r>
    <d v="2026-06-09T00:00:00"/>
    <s v="Line B"/>
    <x v="0"/>
    <x v="3"/>
    <x v="67"/>
    <n v="21"/>
    <n v="25"/>
    <n v="823"/>
    <n v="2.488151658767773"/>
    <n v="97.511848341232238"/>
  </r>
  <r>
    <d v="2026-06-09T00:00:00"/>
    <s v="Line B"/>
    <x v="1"/>
    <x v="1"/>
    <x v="265"/>
    <n v="26"/>
    <n v="10"/>
    <n v="762"/>
    <n v="3.2994923857868019"/>
    <n v="96.700507614213194"/>
  </r>
  <r>
    <d v="2026-06-09T00:00:00"/>
    <s v="Line B"/>
    <x v="2"/>
    <x v="0"/>
    <x v="289"/>
    <n v="24"/>
    <n v="74"/>
    <n v="672"/>
    <n v="3.4482758620689649"/>
    <n v="96.551724137931032"/>
  </r>
  <r>
    <d v="2026-06-09T00:00:00"/>
    <s v="Line C"/>
    <x v="0"/>
    <x v="2"/>
    <x v="168"/>
    <n v="31"/>
    <n v="5"/>
    <n v="867"/>
    <n v="3.4521158129175951"/>
    <n v="96.547884187082403"/>
  </r>
  <r>
    <d v="2026-06-09T00:00:00"/>
    <s v="Line C"/>
    <x v="1"/>
    <x v="3"/>
    <x v="70"/>
    <n v="24"/>
    <n v="20"/>
    <n v="689"/>
    <n v="3.366058906030855"/>
    <n v="96.633941093969142"/>
  </r>
  <r>
    <d v="2026-06-09T00:00:00"/>
    <s v="Line C"/>
    <x v="2"/>
    <x v="0"/>
    <x v="166"/>
    <n v="33"/>
    <n v="31"/>
    <n v="702"/>
    <n v="4.4897959183673466"/>
    <n v="95.510204081632651"/>
  </r>
  <r>
    <d v="2026-06-10T00:00:00"/>
    <s v="Line A"/>
    <x v="0"/>
    <x v="3"/>
    <x v="39"/>
    <n v="12"/>
    <n v="75"/>
    <n v="845"/>
    <n v="1.400233372228705"/>
    <n v="98.599766627771288"/>
  </r>
  <r>
    <d v="2026-06-10T00:00:00"/>
    <s v="Line A"/>
    <x v="1"/>
    <x v="3"/>
    <x v="41"/>
    <n v="12"/>
    <n v="87"/>
    <n v="819"/>
    <n v="1.4440433212996391"/>
    <n v="98.555956678700369"/>
  </r>
  <r>
    <d v="2026-06-10T00:00:00"/>
    <s v="Line A"/>
    <x v="2"/>
    <x v="3"/>
    <x v="91"/>
    <n v="22"/>
    <n v="4"/>
    <n v="872"/>
    <n v="2.4608501118568231"/>
    <n v="97.539149888143172"/>
  </r>
  <r>
    <d v="2026-06-10T00:00:00"/>
    <s v="Line B"/>
    <x v="0"/>
    <x v="1"/>
    <x v="255"/>
    <n v="27"/>
    <n v="3"/>
    <n v="798"/>
    <n v="3.2727272727272729"/>
    <n v="96.727272727272734"/>
  </r>
  <r>
    <d v="2026-06-10T00:00:00"/>
    <s v="Line B"/>
    <x v="1"/>
    <x v="2"/>
    <x v="392"/>
    <n v="23"/>
    <n v="13"/>
    <n v="905"/>
    <n v="2.478448275862069"/>
    <n v="97.521551724137936"/>
  </r>
  <r>
    <d v="2026-06-10T00:00:00"/>
    <s v="Line B"/>
    <x v="2"/>
    <x v="0"/>
    <x v="77"/>
    <n v="27"/>
    <n v="50"/>
    <n v="772"/>
    <n v="3.3792240300375469"/>
    <n v="96.620775969962452"/>
  </r>
  <r>
    <d v="2026-06-10T00:00:00"/>
    <s v="Line C"/>
    <x v="0"/>
    <x v="0"/>
    <x v="339"/>
    <n v="25"/>
    <n v="82"/>
    <n v="716"/>
    <n v="3.3738191632928469"/>
    <n v="96.62618083670715"/>
  </r>
  <r>
    <d v="2026-06-10T00:00:00"/>
    <s v="Line C"/>
    <x v="1"/>
    <x v="3"/>
    <x v="339"/>
    <n v="25"/>
    <n v="34"/>
    <n v="716"/>
    <n v="3.3738191632928469"/>
    <n v="96.62618083670715"/>
  </r>
  <r>
    <d v="2026-06-10T00:00:00"/>
    <s v="Line C"/>
    <x v="2"/>
    <x v="2"/>
    <x v="95"/>
    <n v="32"/>
    <n v="39"/>
    <n v="688"/>
    <n v="4.4444444444444446"/>
    <n v="95.555555555555557"/>
  </r>
  <r>
    <d v="2026-06-11T00:00:00"/>
    <s v="Line A"/>
    <x v="0"/>
    <x v="1"/>
    <x v="314"/>
    <n v="21"/>
    <n v="5"/>
    <n v="917"/>
    <n v="2.238805970149254"/>
    <n v="97.761194029850756"/>
  </r>
  <r>
    <d v="2026-06-11T00:00:00"/>
    <s v="Line A"/>
    <x v="1"/>
    <x v="3"/>
    <x v="47"/>
    <n v="12"/>
    <n v="66"/>
    <n v="814"/>
    <n v="1.4527845036319611"/>
    <n v="98.54721549636804"/>
  </r>
  <r>
    <d v="2026-06-11T00:00:00"/>
    <s v="Line A"/>
    <x v="2"/>
    <x v="2"/>
    <x v="392"/>
    <n v="23"/>
    <n v="33"/>
    <n v="905"/>
    <n v="2.478448275862069"/>
    <n v="97.521551724137936"/>
  </r>
  <r>
    <d v="2026-06-11T00:00:00"/>
    <s v="Line B"/>
    <x v="0"/>
    <x v="1"/>
    <x v="154"/>
    <n v="28"/>
    <n v="15"/>
    <n v="830"/>
    <n v="3.263403263403263"/>
    <n v="96.736596736596738"/>
  </r>
  <r>
    <d v="2026-06-11T00:00:00"/>
    <s v="Line B"/>
    <x v="1"/>
    <x v="3"/>
    <x v="194"/>
    <n v="18"/>
    <n v="69"/>
    <n v="735"/>
    <n v="2.3904382470119518"/>
    <n v="97.609561752988043"/>
  </r>
  <r>
    <d v="2026-06-11T00:00:00"/>
    <s v="Line B"/>
    <x v="2"/>
    <x v="0"/>
    <x v="93"/>
    <n v="28"/>
    <n v="33"/>
    <n v="789"/>
    <n v="3.4271725826193391"/>
    <n v="96.572827417380651"/>
  </r>
  <r>
    <d v="2026-06-11T00:00:00"/>
    <s v="Line C"/>
    <x v="0"/>
    <x v="0"/>
    <x v="143"/>
    <n v="27"/>
    <n v="56"/>
    <n v="750"/>
    <n v="3.4749034749034751"/>
    <n v="96.525096525096515"/>
  </r>
  <r>
    <d v="2026-06-11T00:00:00"/>
    <s v="Line C"/>
    <x v="1"/>
    <x v="0"/>
    <x v="241"/>
    <n v="26"/>
    <n v="43"/>
    <n v="735"/>
    <n v="3.4165571616294348"/>
    <n v="96.583442838370573"/>
  </r>
  <r>
    <d v="2026-06-11T00:00:00"/>
    <s v="Line C"/>
    <x v="2"/>
    <x v="3"/>
    <x v="303"/>
    <n v="30"/>
    <n v="60"/>
    <n v="637"/>
    <n v="4.497751124437781"/>
    <n v="95.502248875562231"/>
  </r>
  <r>
    <d v="2026-06-12T00:00:00"/>
    <s v="Line A"/>
    <x v="0"/>
    <x v="2"/>
    <x v="229"/>
    <n v="15"/>
    <n v="34"/>
    <n v="1043"/>
    <n v="1.417769376181474"/>
    <n v="98.582230623818518"/>
  </r>
  <r>
    <d v="2026-06-12T00:00:00"/>
    <s v="Line A"/>
    <x v="1"/>
    <x v="3"/>
    <x v="44"/>
    <n v="12"/>
    <n v="67"/>
    <n v="828"/>
    <n v="1.428571428571429"/>
    <n v="98.571428571428584"/>
  </r>
  <r>
    <d v="2026-06-12T00:00:00"/>
    <s v="Line A"/>
    <x v="2"/>
    <x v="2"/>
    <x v="420"/>
    <n v="23"/>
    <n v="49"/>
    <n v="902"/>
    <n v="2.486486486486486"/>
    <n v="97.513513513513516"/>
  </r>
  <r>
    <d v="2026-06-12T00:00:00"/>
    <s v="Line B"/>
    <x v="0"/>
    <x v="2"/>
    <x v="120"/>
    <n v="22"/>
    <n v="60"/>
    <n v="889"/>
    <n v="2.4149286498353462"/>
    <n v="97.585071350164654"/>
  </r>
  <r>
    <d v="2026-06-12T00:00:00"/>
    <s v="Line B"/>
    <x v="1"/>
    <x v="1"/>
    <x v="16"/>
    <n v="23"/>
    <n v="69"/>
    <n v="692"/>
    <n v="3.2167832167832171"/>
    <n v="96.783216783216787"/>
  </r>
  <r>
    <d v="2026-06-12T00:00:00"/>
    <s v="Line B"/>
    <x v="2"/>
    <x v="1"/>
    <x v="353"/>
    <n v="27"/>
    <n v="63"/>
    <n v="611"/>
    <n v="4.2319749216300941"/>
    <n v="95.768025078369902"/>
  </r>
  <r>
    <d v="2026-06-12T00:00:00"/>
    <s v="Line C"/>
    <x v="0"/>
    <x v="2"/>
    <x v="190"/>
    <n v="31"/>
    <n v="19"/>
    <n v="879"/>
    <n v="3.406593406593406"/>
    <n v="96.593406593406598"/>
  </r>
  <r>
    <d v="2026-06-12T00:00:00"/>
    <s v="Line C"/>
    <x v="1"/>
    <x v="1"/>
    <x v="388"/>
    <n v="29"/>
    <n v="6"/>
    <n v="661"/>
    <n v="4.2028985507246377"/>
    <n v="95.79710144927536"/>
  </r>
  <r>
    <d v="2026-06-12T00:00:00"/>
    <s v="Line C"/>
    <x v="2"/>
    <x v="3"/>
    <x v="195"/>
    <n v="30"/>
    <n v="52"/>
    <n v="651"/>
    <n v="4.4052863436123353"/>
    <n v="95.594713656387668"/>
  </r>
  <r>
    <d v="2026-06-13T00:00:00"/>
    <s v="Line A"/>
    <x v="0"/>
    <x v="3"/>
    <x v="121"/>
    <n v="13"/>
    <n v="59"/>
    <n v="893"/>
    <n v="1.434878587196468"/>
    <n v="98.565121412803535"/>
  </r>
  <r>
    <d v="2026-06-13T00:00:00"/>
    <s v="Line A"/>
    <x v="1"/>
    <x v="3"/>
    <x v="120"/>
    <n v="13"/>
    <n v="16"/>
    <n v="898"/>
    <n v="1.4270032930845229"/>
    <n v="98.572996706915475"/>
  </r>
  <r>
    <d v="2026-06-13T00:00:00"/>
    <s v="Line A"/>
    <x v="2"/>
    <x v="3"/>
    <x v="200"/>
    <n v="19"/>
    <n v="47"/>
    <n v="772"/>
    <n v="2.4020227560050569"/>
    <n v="97.597977243994933"/>
  </r>
  <r>
    <d v="2026-06-13T00:00:00"/>
    <s v="Line B"/>
    <x v="0"/>
    <x v="0"/>
    <x v="75"/>
    <n v="21"/>
    <n v="63"/>
    <n v="835"/>
    <n v="2.4532710280373831"/>
    <n v="97.546728971962608"/>
  </r>
  <r>
    <d v="2026-06-13T00:00:00"/>
    <s v="Line A"/>
    <x v="1"/>
    <x v="1"/>
    <x v="361"/>
    <n v="25"/>
    <n v="38"/>
    <n v="745"/>
    <n v="3.2467532467532458"/>
    <n v="96.753246753246756"/>
  </r>
  <r>
    <d v="2026-06-13T00:00:00"/>
    <s v="Line B"/>
    <x v="2"/>
    <x v="0"/>
    <x v="44"/>
    <n v="29"/>
    <n v="25"/>
    <n v="811"/>
    <n v="3.452380952380953"/>
    <n v="96.547619047619051"/>
  </r>
  <r>
    <d v="2026-06-13T00:00:00"/>
    <s v="Line C"/>
    <x v="0"/>
    <x v="1"/>
    <x v="236"/>
    <n v="27"/>
    <n v="86"/>
    <n v="616"/>
    <n v="4.1990668740279933"/>
    <n v="95.800933125972008"/>
  </r>
  <r>
    <d v="2026-06-13T00:00:00"/>
    <s v="Line C"/>
    <x v="1"/>
    <x v="2"/>
    <x v="219"/>
    <n v="28"/>
    <n v="49"/>
    <n v="773"/>
    <n v="3.4956304619225969"/>
    <n v="96.504369538077412"/>
  </r>
  <r>
    <d v="2026-06-13T00:00:00"/>
    <s v="Line C"/>
    <x v="2"/>
    <x v="0"/>
    <x v="70"/>
    <n v="32"/>
    <n v="47"/>
    <n v="681"/>
    <n v="4.4880785413744739"/>
    <n v="95.511921458625523"/>
  </r>
  <r>
    <d v="2026-06-14T00:00:00"/>
    <s v="Line A"/>
    <x v="0"/>
    <x v="0"/>
    <x v="10"/>
    <n v="14"/>
    <n v="66"/>
    <n v="953"/>
    <n v="1.4477766287487071"/>
    <n v="98.552223371251287"/>
  </r>
  <r>
    <d v="2026-06-14T00:00:00"/>
    <s v="Line A"/>
    <x v="1"/>
    <x v="2"/>
    <x v="38"/>
    <n v="13"/>
    <n v="83"/>
    <n v="886"/>
    <n v="1.446051167964405"/>
    <n v="98.553948832035601"/>
  </r>
  <r>
    <d v="2026-06-14T00:00:00"/>
    <s v="Line A"/>
    <x v="2"/>
    <x v="3"/>
    <x v="76"/>
    <n v="20"/>
    <n v="22"/>
    <n v="783"/>
    <n v="2.4906600249066"/>
    <n v="97.509339975093397"/>
  </r>
  <r>
    <d v="2026-06-14T00:00:00"/>
    <s v="Line B"/>
    <x v="0"/>
    <x v="3"/>
    <x v="98"/>
    <n v="19"/>
    <n v="80"/>
    <n v="766"/>
    <n v="2.4203821656050959"/>
    <n v="97.579617834394909"/>
  </r>
  <r>
    <d v="2026-06-14T00:00:00"/>
    <s v="Line B"/>
    <x v="1"/>
    <x v="1"/>
    <x v="220"/>
    <n v="25"/>
    <n v="22"/>
    <n v="755"/>
    <n v="3.2051282051282048"/>
    <n v="96.794871794871796"/>
  </r>
  <r>
    <d v="2026-06-14T00:00:00"/>
    <s v="Line B"/>
    <x v="2"/>
    <x v="0"/>
    <x v="14"/>
    <n v="28"/>
    <n v="42"/>
    <n v="786"/>
    <n v="3.4398034398034398"/>
    <n v="96.560196560196559"/>
  </r>
  <r>
    <d v="2026-06-14T00:00:00"/>
    <s v="Line C"/>
    <x v="0"/>
    <x v="3"/>
    <x v="364"/>
    <n v="27"/>
    <n v="16"/>
    <n v="747"/>
    <n v="3.4883720930232558"/>
    <n v="96.511627906976756"/>
  </r>
  <r>
    <d v="2026-06-14T00:00:00"/>
    <s v="Line C"/>
    <x v="1"/>
    <x v="2"/>
    <x v="69"/>
    <n v="27"/>
    <n v="36"/>
    <n v="759"/>
    <n v="3.4351145038167941"/>
    <n v="96.564885496183209"/>
  </r>
  <r>
    <d v="2026-06-14T00:00:00"/>
    <s v="Line C"/>
    <x v="2"/>
    <x v="0"/>
    <x v="344"/>
    <n v="30"/>
    <n v="70"/>
    <n v="647"/>
    <n v="4.431314623338257"/>
    <n v="95.568685376661747"/>
  </r>
  <r>
    <d v="2026-06-15T00:00:00"/>
    <s v="Line A"/>
    <x v="0"/>
    <x v="2"/>
    <x v="65"/>
    <n v="14"/>
    <n v="55"/>
    <n v="984"/>
    <n v="1.402805611222445"/>
    <n v="98.597194388777552"/>
  </r>
  <r>
    <d v="2026-06-15T00:00:00"/>
    <s v="Line A"/>
    <x v="1"/>
    <x v="0"/>
    <x v="190"/>
    <n v="13"/>
    <n v="60"/>
    <n v="897"/>
    <n v="1.428571428571429"/>
    <n v="98.571428571428584"/>
  </r>
  <r>
    <d v="2026-06-15T00:00:00"/>
    <s v="Line A"/>
    <x v="2"/>
    <x v="1"/>
    <x v="90"/>
    <n v="24"/>
    <n v="47"/>
    <n v="705"/>
    <n v="3.2921810699588478"/>
    <n v="96.707818930041157"/>
  </r>
  <r>
    <d v="2026-06-15T00:00:00"/>
    <s v="Line B"/>
    <x v="0"/>
    <x v="0"/>
    <x v="421"/>
    <n v="23"/>
    <n v="25"/>
    <n v="923"/>
    <n v="2.4312896405919662"/>
    <n v="97.56871035940803"/>
  </r>
  <r>
    <d v="2026-06-15T00:00:00"/>
    <s v="Line B"/>
    <x v="1"/>
    <x v="0"/>
    <x v="232"/>
    <n v="19"/>
    <n v="75"/>
    <n v="753"/>
    <n v="2.4611398963730569"/>
    <n v="97.538860103626945"/>
  </r>
  <r>
    <d v="2026-06-15T00:00:00"/>
    <s v="Line B"/>
    <x v="2"/>
    <x v="0"/>
    <x v="70"/>
    <n v="24"/>
    <n v="65"/>
    <n v="689"/>
    <n v="3.366058906030855"/>
    <n v="96.633941093969142"/>
  </r>
  <r>
    <d v="2026-06-15T00:00:00"/>
    <s v="Line C"/>
    <x v="0"/>
    <x v="0"/>
    <x v="28"/>
    <n v="27"/>
    <n v="15"/>
    <n v="770"/>
    <n v="3.3877038895859481"/>
    <n v="96.61229611041405"/>
  </r>
  <r>
    <d v="2026-06-15T00:00:00"/>
    <s v="Line C"/>
    <x v="1"/>
    <x v="1"/>
    <x v="146"/>
    <n v="29"/>
    <n v="1"/>
    <n v="663"/>
    <n v="4.1907514450867049"/>
    <n v="95.809248554913296"/>
  </r>
  <r>
    <d v="2026-06-15T00:00:00"/>
    <s v="Line C"/>
    <x v="2"/>
    <x v="3"/>
    <x v="72"/>
    <n v="28"/>
    <n v="37"/>
    <n v="614"/>
    <n v="4.361370716510903"/>
    <n v="95.638629283489095"/>
  </r>
  <r>
    <d v="2026-06-16T00:00:00"/>
    <s v="Line A"/>
    <x v="0"/>
    <x v="2"/>
    <x v="366"/>
    <n v="15"/>
    <n v="48"/>
    <n v="1019"/>
    <n v="1.4506769825918759"/>
    <n v="98.549323017408113"/>
  </r>
  <r>
    <d v="2026-06-16T00:00:00"/>
    <s v="Line A"/>
    <x v="1"/>
    <x v="1"/>
    <x v="222"/>
    <n v="19"/>
    <n v="2"/>
    <n v="828"/>
    <n v="2.2432113341204252"/>
    <n v="97.756788665879583"/>
  </r>
  <r>
    <d v="2026-06-16T00:00:00"/>
    <s v="Line A"/>
    <x v="2"/>
    <x v="1"/>
    <x v="412"/>
    <n v="22"/>
    <n v="88"/>
    <n v="650"/>
    <n v="3.2738095238095242"/>
    <n v="96.726190476190482"/>
  </r>
  <r>
    <d v="2026-06-16T00:00:00"/>
    <s v="Line B"/>
    <x v="0"/>
    <x v="0"/>
    <x v="422"/>
    <n v="24"/>
    <n v="1"/>
    <n v="945"/>
    <n v="2.4767801857585141"/>
    <n v="97.523219814241486"/>
  </r>
  <r>
    <d v="2026-06-16T00:00:00"/>
    <s v="Line B"/>
    <x v="1"/>
    <x v="1"/>
    <x v="417"/>
    <n v="24"/>
    <n v="50"/>
    <n v="732"/>
    <n v="3.174603174603174"/>
    <n v="96.825396825396822"/>
  </r>
  <r>
    <d v="2026-06-16T00:00:00"/>
    <s v="Line B"/>
    <x v="2"/>
    <x v="2"/>
    <x v="242"/>
    <n v="30"/>
    <n v="1"/>
    <n v="852"/>
    <n v="3.4013605442176869"/>
    <n v="96.598639455782305"/>
  </r>
  <r>
    <d v="2026-06-16T00:00:00"/>
    <s v="Line C"/>
    <x v="0"/>
    <x v="2"/>
    <x v="46"/>
    <n v="29"/>
    <n v="68"/>
    <n v="801"/>
    <n v="3.4939759036144582"/>
    <n v="96.506024096385545"/>
  </r>
  <r>
    <d v="2026-06-16T00:00:00"/>
    <s v="Line C"/>
    <x v="1"/>
    <x v="3"/>
    <x v="94"/>
    <n v="25"/>
    <n v="53"/>
    <n v="703"/>
    <n v="3.4340659340659339"/>
    <n v="96.565934065934073"/>
  </r>
  <r>
    <d v="2026-06-16T00:00:00"/>
    <s v="Line C"/>
    <x v="2"/>
    <x v="2"/>
    <x v="264"/>
    <n v="35"/>
    <n v="21"/>
    <n v="752"/>
    <n v="4.4472681067344348"/>
    <n v="95.552731893265559"/>
  </r>
  <r>
    <d v="2026-06-17T00:00:00"/>
    <s v="Line A"/>
    <x v="0"/>
    <x v="0"/>
    <x v="198"/>
    <n v="14"/>
    <n v="17"/>
    <n v="957"/>
    <n v="1.441812564366632"/>
    <n v="98.558187435633371"/>
  </r>
  <r>
    <d v="2026-06-17T00:00:00"/>
    <s v="Line A"/>
    <x v="1"/>
    <x v="0"/>
    <x v="108"/>
    <n v="13"/>
    <n v="69"/>
    <n v="894"/>
    <n v="1.4332965821389201"/>
    <n v="98.566703417861078"/>
  </r>
  <r>
    <d v="2026-06-17T00:00:00"/>
    <s v="Line A"/>
    <x v="2"/>
    <x v="3"/>
    <x v="339"/>
    <n v="18"/>
    <n v="77"/>
    <n v="723"/>
    <n v="2.42914979757085"/>
    <n v="97.570850202429142"/>
  </r>
  <r>
    <d v="2026-06-17T00:00:00"/>
    <s v="Line B"/>
    <x v="0"/>
    <x v="2"/>
    <x v="187"/>
    <n v="22"/>
    <n v="72"/>
    <n v="882"/>
    <n v="2.4336283185840708"/>
    <n v="97.56637168141593"/>
  </r>
  <r>
    <d v="2026-06-17T00:00:00"/>
    <s v="Line B"/>
    <x v="1"/>
    <x v="2"/>
    <x v="157"/>
    <n v="22"/>
    <n v="52"/>
    <n v="874"/>
    <n v="2.4553571428571428"/>
    <n v="97.544642857142861"/>
  </r>
  <r>
    <d v="2026-06-17T00:00:00"/>
    <s v="Line B"/>
    <x v="2"/>
    <x v="1"/>
    <x v="423"/>
    <n v="27"/>
    <n v="68"/>
    <n v="613"/>
    <n v="4.21875"/>
    <n v="95.78125"/>
  </r>
  <r>
    <d v="2026-06-17T00:00:00"/>
    <s v="Line C"/>
    <x v="0"/>
    <x v="1"/>
    <x v="211"/>
    <n v="27"/>
    <n v="82"/>
    <n v="620"/>
    <n v="4.1731066460587316"/>
    <n v="95.826893353941273"/>
  </r>
  <r>
    <d v="2026-06-17T00:00:00"/>
    <s v="Line C"/>
    <x v="1"/>
    <x v="3"/>
    <x v="172"/>
    <n v="25"/>
    <n v="37"/>
    <n v="715"/>
    <n v="3.378378378378379"/>
    <n v="96.621621621621628"/>
  </r>
  <r>
    <d v="2026-06-17T00:00:00"/>
    <s v="Line C"/>
    <x v="2"/>
    <x v="2"/>
    <x v="331"/>
    <n v="32"/>
    <n v="73"/>
    <n v="690"/>
    <n v="4.43213296398892"/>
    <n v="95.56786703601108"/>
  </r>
  <r>
    <d v="2026-06-18T00:00:00"/>
    <s v="Line A"/>
    <x v="0"/>
    <x v="1"/>
    <x v="9"/>
    <n v="22"/>
    <n v="9"/>
    <n v="939"/>
    <n v="2.289281997918835"/>
    <n v="97.710718002081165"/>
  </r>
  <r>
    <d v="2026-06-18T00:00:00"/>
    <s v="Line A"/>
    <x v="1"/>
    <x v="2"/>
    <x v="377"/>
    <n v="13"/>
    <n v="61"/>
    <n v="882"/>
    <n v="1.4525139664804469"/>
    <n v="98.547486033519547"/>
  </r>
  <r>
    <d v="2026-06-18T00:00:00"/>
    <s v="Line A"/>
    <x v="2"/>
    <x v="2"/>
    <x v="324"/>
    <n v="20"/>
    <n v="68"/>
    <n v="796"/>
    <n v="2.4509803921568629"/>
    <n v="97.549019607843135"/>
  </r>
  <r>
    <d v="2026-06-18T00:00:00"/>
    <s v="Line B"/>
    <x v="0"/>
    <x v="0"/>
    <x v="232"/>
    <n v="19"/>
    <n v="87"/>
    <n v="753"/>
    <n v="2.4611398963730569"/>
    <n v="97.538860103626945"/>
  </r>
  <r>
    <d v="2026-06-18T00:00:00"/>
    <s v="Line B"/>
    <x v="1"/>
    <x v="2"/>
    <x v="273"/>
    <n v="22"/>
    <n v="62"/>
    <n v="859"/>
    <n v="2.49716231555051"/>
    <n v="97.502837684449489"/>
  </r>
  <r>
    <d v="2026-06-18T00:00:00"/>
    <s v="Line B"/>
    <x v="2"/>
    <x v="2"/>
    <x v="14"/>
    <n v="28"/>
    <n v="64"/>
    <n v="786"/>
    <n v="3.4398034398034398"/>
    <n v="96.560196560196559"/>
  </r>
  <r>
    <d v="2026-06-18T00:00:00"/>
    <s v="Line C"/>
    <x v="0"/>
    <x v="0"/>
    <x v="316"/>
    <n v="26"/>
    <n v="62"/>
    <n v="738"/>
    <n v="3.403141361256544"/>
    <n v="96.596858638743456"/>
  </r>
  <r>
    <d v="2026-06-18T00:00:00"/>
    <s v="Line C"/>
    <x v="1"/>
    <x v="2"/>
    <x v="92"/>
    <n v="28"/>
    <n v="11"/>
    <n v="776"/>
    <n v="3.4825870646766171"/>
    <n v="96.517412935323392"/>
  </r>
  <r>
    <d v="2026-06-18T00:00:00"/>
    <s v="Line C"/>
    <x v="2"/>
    <x v="1"/>
    <x v="424"/>
    <n v="30"/>
    <n v="69"/>
    <n v="541"/>
    <n v="5.2539404553415059"/>
    <n v="94.746059544658493"/>
  </r>
  <r>
    <d v="2026-06-19T00:00:00"/>
    <s v="Line A"/>
    <x v="0"/>
    <x v="0"/>
    <x v="310"/>
    <n v="14"/>
    <n v="35"/>
    <n v="952"/>
    <n v="1.449275362318841"/>
    <n v="98.550724637681171"/>
  </r>
  <r>
    <d v="2026-06-19T00:00:00"/>
    <s v="Line A"/>
    <x v="1"/>
    <x v="3"/>
    <x v="23"/>
    <n v="12"/>
    <n v="64"/>
    <n v="842"/>
    <n v="1.405152224824356"/>
    <n v="98.594847775175637"/>
  </r>
  <r>
    <d v="2026-06-19T00:00:00"/>
    <s v="Line A"/>
    <x v="2"/>
    <x v="1"/>
    <x v="258"/>
    <n v="27"/>
    <n v="6"/>
    <n v="797"/>
    <n v="3.2766990291262141"/>
    <n v="96.72330097087378"/>
  </r>
  <r>
    <d v="2026-06-19T00:00:00"/>
    <s v="Line B"/>
    <x v="0"/>
    <x v="3"/>
    <x v="166"/>
    <n v="18"/>
    <n v="88"/>
    <n v="717"/>
    <n v="2.4489795918367352"/>
    <n v="97.551020408163268"/>
  </r>
  <r>
    <d v="2026-06-19T00:00:00"/>
    <s v="Line B"/>
    <x v="1"/>
    <x v="3"/>
    <x v="11"/>
    <n v="20"/>
    <n v="25"/>
    <n v="798"/>
    <n v="2.4449877750611249"/>
    <n v="97.555012224938878"/>
  </r>
  <r>
    <d v="2026-06-19T00:00:00"/>
    <s v="Line B"/>
    <x v="2"/>
    <x v="2"/>
    <x v="115"/>
    <n v="30"/>
    <n v="2"/>
    <n v="845"/>
    <n v="3.4285714285714288"/>
    <n v="96.571428571428569"/>
  </r>
  <r>
    <d v="2026-06-19T00:00:00"/>
    <s v="Line C"/>
    <x v="0"/>
    <x v="0"/>
    <x v="294"/>
    <n v="27"/>
    <n v="58"/>
    <n v="766"/>
    <n v="3.404791929382093"/>
    <n v="96.595208070617915"/>
  </r>
  <r>
    <d v="2026-06-19T00:00:00"/>
    <s v="Line C"/>
    <x v="1"/>
    <x v="0"/>
    <x v="28"/>
    <n v="27"/>
    <n v="13"/>
    <n v="770"/>
    <n v="3.3877038895859481"/>
    <n v="96.61229611041405"/>
  </r>
  <r>
    <d v="2026-06-19T00:00:00"/>
    <s v="Line C"/>
    <x v="2"/>
    <x v="0"/>
    <x v="416"/>
    <n v="28"/>
    <n v="78"/>
    <n v="597"/>
    <n v="4.4800000000000004"/>
    <n v="95.52000000000001"/>
  </r>
  <r>
    <d v="2026-06-20T00:00:00"/>
    <s v="Line A"/>
    <x v="0"/>
    <x v="0"/>
    <x v="170"/>
    <n v="14"/>
    <n v="53"/>
    <n v="960"/>
    <n v="1.4373716632443529"/>
    <n v="98.562628336755637"/>
  </r>
  <r>
    <d v="2026-06-20T00:00:00"/>
    <s v="Line A"/>
    <x v="1"/>
    <x v="0"/>
    <x v="180"/>
    <n v="14"/>
    <n v="16"/>
    <n v="931"/>
    <n v="1.4814814814814821"/>
    <n v="98.518518518518519"/>
  </r>
  <r>
    <d v="2026-06-20T00:00:00"/>
    <s v="Line A"/>
    <x v="2"/>
    <x v="0"/>
    <x v="165"/>
    <n v="20"/>
    <n v="69"/>
    <n v="819"/>
    <n v="2.383790226460071"/>
    <n v="97.616209773539936"/>
  </r>
  <r>
    <d v="2026-06-20T00:00:00"/>
    <s v="Line B"/>
    <x v="0"/>
    <x v="0"/>
    <x v="217"/>
    <n v="22"/>
    <n v="43"/>
    <n v="892"/>
    <n v="2.407002188183808"/>
    <n v="97.59299781181619"/>
  </r>
  <r>
    <d v="2026-06-20T00:00:00"/>
    <s v="Line B"/>
    <x v="1"/>
    <x v="1"/>
    <x v="15"/>
    <n v="24"/>
    <n v="30"/>
    <n v="720"/>
    <n v="3.225806451612903"/>
    <n v="96.774193548387103"/>
  </r>
  <r>
    <d v="2026-06-20T00:00:00"/>
    <s v="Line B"/>
    <x v="2"/>
    <x v="2"/>
    <x v="31"/>
    <n v="27"/>
    <n v="52"/>
    <n v="765"/>
    <n v="3.4090909090909092"/>
    <n v="96.590909090909093"/>
  </r>
  <r>
    <d v="2026-06-20T00:00:00"/>
    <s v="Line C"/>
    <x v="0"/>
    <x v="1"/>
    <x v="311"/>
    <n v="31"/>
    <n v="35"/>
    <n v="703"/>
    <n v="4.223433242506812"/>
    <n v="95.776566757493185"/>
  </r>
  <r>
    <d v="2026-06-20T00:00:00"/>
    <s v="Line C"/>
    <x v="1"/>
    <x v="3"/>
    <x v="194"/>
    <n v="26"/>
    <n v="12"/>
    <n v="727"/>
    <n v="3.452855245683931"/>
    <n v="96.547144754316065"/>
  </r>
  <r>
    <d v="2026-06-20T00:00:00"/>
    <s v="Line C"/>
    <x v="2"/>
    <x v="2"/>
    <x v="25"/>
    <n v="32"/>
    <n v="34"/>
    <n v="698"/>
    <n v="4.3835616438356162"/>
    <n v="95.61643835616438"/>
  </r>
  <r>
    <d v="2026-06-21T00:00:00"/>
    <s v="Line A"/>
    <x v="0"/>
    <x v="0"/>
    <x v="318"/>
    <n v="14"/>
    <n v="14"/>
    <n v="972"/>
    <n v="1.419878296146045"/>
    <n v="98.580121703853948"/>
  </r>
  <r>
    <d v="2026-06-21T00:00:00"/>
    <s v="Line A"/>
    <x v="1"/>
    <x v="3"/>
    <x v="276"/>
    <n v="13"/>
    <n v="19"/>
    <n v="888"/>
    <n v="1.44284128745838"/>
    <n v="98.557158712541622"/>
  </r>
  <r>
    <d v="2026-06-21T00:00:00"/>
    <s v="Line B"/>
    <x v="0"/>
    <x v="1"/>
    <x v="92"/>
    <n v="26"/>
    <n v="41"/>
    <n v="778"/>
    <n v="3.233830845771144"/>
    <n v="96.766169154228848"/>
  </r>
  <r>
    <d v="2026-06-21T00:00:00"/>
    <s v="Line B"/>
    <x v="1"/>
    <x v="0"/>
    <x v="93"/>
    <n v="20"/>
    <n v="47"/>
    <n v="797"/>
    <n v="2.4479804161566712"/>
    <n v="97.552019583843332"/>
  </r>
  <r>
    <d v="2026-06-21T00:00:00"/>
    <s v="Line B"/>
    <x v="2"/>
    <x v="2"/>
    <x v="45"/>
    <n v="29"/>
    <n v="14"/>
    <n v="809"/>
    <n v="3.460620525059666"/>
    <n v="96.539379474940333"/>
  </r>
  <r>
    <d v="2026-06-21T00:00:00"/>
    <s v="Line C"/>
    <x v="0"/>
    <x v="2"/>
    <x v="178"/>
    <n v="30"/>
    <n v="39"/>
    <n v="831"/>
    <n v="3.484320557491289"/>
    <n v="96.515679442508713"/>
  </r>
  <r>
    <d v="2026-06-21T00:00:00"/>
    <s v="Line C"/>
    <x v="1"/>
    <x v="0"/>
    <x v="118"/>
    <n v="28"/>
    <n v="6"/>
    <n v="800"/>
    <n v="3.381642512077295"/>
    <n v="96.618357487922708"/>
  </r>
  <r>
    <d v="2026-06-21T00:00:00"/>
    <s v="Line C"/>
    <x v="2"/>
    <x v="2"/>
    <x v="133"/>
    <n v="32"/>
    <n v="56"/>
    <n v="699"/>
    <n v="4.3775649794801641"/>
    <n v="95.622435020519831"/>
  </r>
  <r>
    <d v="2026-06-22T00:00:00"/>
    <s v="Line A"/>
    <x v="0"/>
    <x v="2"/>
    <x v="310"/>
    <n v="14"/>
    <n v="49"/>
    <n v="952"/>
    <n v="1.449275362318841"/>
    <n v="98.550724637681171"/>
  </r>
  <r>
    <d v="2026-06-22T00:00:00"/>
    <s v="Line A"/>
    <x v="1"/>
    <x v="1"/>
    <x v="200"/>
    <n v="18"/>
    <n v="79"/>
    <n v="773"/>
    <n v="2.2756005056890012"/>
    <n v="97.724399494311001"/>
  </r>
  <r>
    <d v="2026-06-22T00:00:00"/>
    <s v="Line A"/>
    <x v="2"/>
    <x v="2"/>
    <x v="283"/>
    <n v="22"/>
    <n v="49"/>
    <n v="862"/>
    <n v="2.4886877828054299"/>
    <n v="97.511312217194572"/>
  </r>
  <r>
    <d v="2026-06-22T00:00:00"/>
    <s v="Line B"/>
    <x v="0"/>
    <x v="0"/>
    <x v="265"/>
    <n v="19"/>
    <n v="77"/>
    <n v="769"/>
    <n v="2.4111675126903549"/>
    <n v="97.588832487309645"/>
  </r>
  <r>
    <d v="2026-06-22T00:00:00"/>
    <s v="Line B"/>
    <x v="1"/>
    <x v="0"/>
    <x v="223"/>
    <n v="21"/>
    <n v="42"/>
    <n v="858"/>
    <n v="2.3890784982935149"/>
    <n v="97.610921501706486"/>
  </r>
  <r>
    <d v="2026-06-22T00:00:00"/>
    <s v="Line B"/>
    <x v="2"/>
    <x v="0"/>
    <x v="98"/>
    <n v="27"/>
    <n v="26"/>
    <n v="758"/>
    <n v="3.4394904458598732"/>
    <n v="96.560509554140125"/>
  </r>
  <r>
    <d v="2026-06-22T00:00:00"/>
    <s v="Line C"/>
    <x v="0"/>
    <x v="2"/>
    <x v="76"/>
    <n v="28"/>
    <n v="56"/>
    <n v="775"/>
    <n v="3.486924034869241"/>
    <n v="96.513075965130753"/>
  </r>
  <r>
    <d v="2026-06-22T00:00:00"/>
    <s v="Line C"/>
    <x v="1"/>
    <x v="0"/>
    <x v="173"/>
    <n v="26"/>
    <n v="62"/>
    <n v="728"/>
    <n v="3.4482758620689649"/>
    <n v="96.551724137931032"/>
  </r>
  <r>
    <d v="2026-06-22T00:00:00"/>
    <s v="Line C"/>
    <x v="2"/>
    <x v="1"/>
    <x v="146"/>
    <n v="36"/>
    <n v="2"/>
    <n v="656"/>
    <n v="5.202312138728324"/>
    <n v="94.797687861271669"/>
  </r>
  <r>
    <d v="2026-06-23T00:00:00"/>
    <s v="Line A"/>
    <x v="0"/>
    <x v="3"/>
    <x v="139"/>
    <n v="13"/>
    <n v="47"/>
    <n v="896"/>
    <n v="1.43014301430143"/>
    <n v="98.569856985698564"/>
  </r>
  <r>
    <d v="2026-06-23T00:00:00"/>
    <s v="Line A"/>
    <x v="1"/>
    <x v="1"/>
    <x v="260"/>
    <n v="20"/>
    <n v="20"/>
    <n v="851"/>
    <n v="2.2962112514351318"/>
    <n v="97.703788748564875"/>
  </r>
  <r>
    <d v="2026-06-23T00:00:00"/>
    <s v="Line A"/>
    <x v="2"/>
    <x v="1"/>
    <x v="231"/>
    <n v="26"/>
    <n v="30"/>
    <n v="785"/>
    <n v="3.205918618988902"/>
    <n v="96.794081381011097"/>
  </r>
  <r>
    <d v="2026-06-23T00:00:00"/>
    <s v="Line B"/>
    <x v="0"/>
    <x v="1"/>
    <x v="89"/>
    <n v="24"/>
    <n v="44"/>
    <n v="725"/>
    <n v="3.2042723631508681"/>
    <n v="96.795727636849122"/>
  </r>
  <r>
    <d v="2026-06-23T00:00:00"/>
    <s v="Line B"/>
    <x v="1"/>
    <x v="1"/>
    <x v="133"/>
    <n v="24"/>
    <n v="44"/>
    <n v="707"/>
    <n v="3.2831737346101231"/>
    <n v="96.716826265389884"/>
  </r>
  <r>
    <d v="2026-06-23T00:00:00"/>
    <s v="Line B"/>
    <x v="2"/>
    <x v="3"/>
    <x v="205"/>
    <n v="26"/>
    <n v="33"/>
    <n v="736"/>
    <n v="3.4120734908136479"/>
    <n v="96.587926509186346"/>
  </r>
  <r>
    <d v="2026-06-23T00:00:00"/>
    <s v="Line C"/>
    <x v="0"/>
    <x v="0"/>
    <x v="219"/>
    <n v="28"/>
    <n v="17"/>
    <n v="773"/>
    <n v="3.4956304619225969"/>
    <n v="96.504369538077412"/>
  </r>
  <r>
    <d v="2026-06-23T00:00:00"/>
    <s v="Line C"/>
    <x v="1"/>
    <x v="1"/>
    <x v="365"/>
    <n v="28"/>
    <n v="76"/>
    <n v="625"/>
    <n v="4.2879019908116387"/>
    <n v="95.712098009188367"/>
  </r>
  <r>
    <d v="2026-06-23T00:00:00"/>
    <s v="Line C"/>
    <x v="2"/>
    <x v="2"/>
    <x v="111"/>
    <n v="33"/>
    <n v="34"/>
    <n v="710"/>
    <n v="4.4414535666218038"/>
    <n v="95.558546433378197"/>
  </r>
  <r>
    <d v="2026-06-24T00:00:00"/>
    <s v="Line A"/>
    <x v="0"/>
    <x v="2"/>
    <x v="208"/>
    <n v="13"/>
    <n v="85"/>
    <n v="906"/>
    <n v="1.4145810663764959"/>
    <n v="98.585418933623501"/>
  </r>
  <r>
    <d v="2026-06-24T00:00:00"/>
    <s v="Line A"/>
    <x v="1"/>
    <x v="1"/>
    <x v="89"/>
    <n v="17"/>
    <n v="89"/>
    <n v="732"/>
    <n v="2.2696929238985319"/>
    <n v="97.730307076101468"/>
  </r>
  <r>
    <d v="2026-06-24T00:00:00"/>
    <s v="Line A"/>
    <x v="2"/>
    <x v="1"/>
    <x v="78"/>
    <n v="26"/>
    <n v="14"/>
    <n v="789"/>
    <n v="3.1901840490797548"/>
    <n v="96.809815950920239"/>
  </r>
  <r>
    <d v="2026-06-24T00:00:00"/>
    <s v="Line B"/>
    <x v="0"/>
    <x v="2"/>
    <x v="10"/>
    <n v="24"/>
    <n v="38"/>
    <n v="943"/>
    <n v="2.4819027921406409"/>
    <n v="97.518097207859356"/>
  </r>
  <r>
    <d v="2026-06-24T00:00:00"/>
    <s v="Line B"/>
    <x v="1"/>
    <x v="3"/>
    <x v="69"/>
    <n v="19"/>
    <n v="58"/>
    <n v="767"/>
    <n v="2.4173027989821878"/>
    <n v="97.582697201017808"/>
  </r>
  <r>
    <d v="2026-06-24T00:00:00"/>
    <s v="Line B"/>
    <x v="2"/>
    <x v="3"/>
    <x v="86"/>
    <n v="27"/>
    <n v="0"/>
    <n v="763"/>
    <n v="3.4177215189873422"/>
    <n v="96.582278481012665"/>
  </r>
  <r>
    <d v="2026-06-24T00:00:00"/>
    <s v="Line C"/>
    <x v="0"/>
    <x v="0"/>
    <x v="254"/>
    <n v="26"/>
    <n v="74"/>
    <n v="733"/>
    <n v="3.4255599472990781"/>
    <n v="96.574440052700922"/>
  </r>
  <r>
    <d v="2026-06-24T00:00:00"/>
    <s v="Line C"/>
    <x v="1"/>
    <x v="3"/>
    <x v="54"/>
    <n v="25"/>
    <n v="32"/>
    <n v="711"/>
    <n v="3.3967391304347818"/>
    <n v="96.603260869565219"/>
  </r>
  <r>
    <d v="2026-06-24T00:00:00"/>
    <s v="Line C"/>
    <x v="2"/>
    <x v="3"/>
    <x v="425"/>
    <n v="26"/>
    <n v="82"/>
    <n v="568"/>
    <n v="4.3771043771043772"/>
    <n v="95.622895622895626"/>
  </r>
  <r>
    <d v="2026-06-25T00:00:00"/>
    <s v="Line A"/>
    <x v="0"/>
    <x v="2"/>
    <x v="426"/>
    <n v="15"/>
    <n v="23"/>
    <n v="1039"/>
    <n v="1.4231499051233401"/>
    <n v="98.576850094876662"/>
  </r>
  <r>
    <d v="2026-06-25T00:00:00"/>
    <s v="Line A"/>
    <x v="1"/>
    <x v="2"/>
    <x v="427"/>
    <n v="15"/>
    <n v="18"/>
    <n v="1006"/>
    <n v="1.4691478942213521"/>
    <n v="98.530852105778649"/>
  </r>
  <r>
    <d v="2026-06-25T00:00:00"/>
    <s v="Line A"/>
    <x v="2"/>
    <x v="1"/>
    <x v="278"/>
    <n v="24"/>
    <n v="80"/>
    <n v="721"/>
    <n v="3.2214765100671139"/>
    <n v="96.778523489932894"/>
  </r>
  <r>
    <d v="2026-06-25T00:00:00"/>
    <s v="Line B"/>
    <x v="0"/>
    <x v="0"/>
    <x v="217"/>
    <n v="22"/>
    <n v="40"/>
    <n v="892"/>
    <n v="2.407002188183808"/>
    <n v="97.59299781181619"/>
  </r>
  <r>
    <d v="2026-06-25T00:00:00"/>
    <s v="Line B"/>
    <x v="1"/>
    <x v="1"/>
    <x v="94"/>
    <n v="24"/>
    <n v="49"/>
    <n v="704"/>
    <n v="3.296703296703297"/>
    <n v="96.703296703296701"/>
  </r>
  <r>
    <d v="2026-06-25T00:00:00"/>
    <s v="Line B"/>
    <x v="2"/>
    <x v="2"/>
    <x v="118"/>
    <n v="28"/>
    <n v="33"/>
    <n v="800"/>
    <n v="3.381642512077295"/>
    <n v="96.618357487922708"/>
  </r>
  <r>
    <d v="2026-06-25T00:00:00"/>
    <s v="Line C"/>
    <x v="0"/>
    <x v="1"/>
    <x v="59"/>
    <n v="31"/>
    <n v="57"/>
    <n v="695"/>
    <n v="4.2699724517906326"/>
    <n v="95.730027548209364"/>
  </r>
  <r>
    <d v="2026-06-25T00:00:00"/>
    <s v="Line C"/>
    <x v="2"/>
    <x v="1"/>
    <x v="428"/>
    <n v="35"/>
    <n v="12"/>
    <n v="630"/>
    <n v="5.2631578947368416"/>
    <n v="94.73684210526315"/>
  </r>
  <r>
    <d v="2026-06-26T00:00:00"/>
    <s v="Line A"/>
    <x v="0"/>
    <x v="2"/>
    <x v="429"/>
    <n v="15"/>
    <n v="36"/>
    <n v="1048"/>
    <n v="1.411100658513641"/>
    <n v="98.588899341486353"/>
  </r>
  <r>
    <d v="2026-06-26T00:00:00"/>
    <s v="Line A"/>
    <x v="1"/>
    <x v="1"/>
    <x v="131"/>
    <n v="20"/>
    <n v="2"/>
    <n v="866"/>
    <n v="2.2573363431151239"/>
    <n v="97.742663656884872"/>
  </r>
  <r>
    <d v="2026-06-26T00:00:00"/>
    <s v="Line A"/>
    <x v="2"/>
    <x v="1"/>
    <x v="163"/>
    <n v="24"/>
    <n v="48"/>
    <n v="727"/>
    <n v="3.1957390146471369"/>
    <n v="96.804260985352869"/>
  </r>
  <r>
    <d v="2026-06-26T00:00:00"/>
    <s v="Line B"/>
    <x v="0"/>
    <x v="3"/>
    <x v="352"/>
    <n v="21"/>
    <n v="50"/>
    <n v="844"/>
    <n v="2.4277456647398838"/>
    <n v="97.572254335260112"/>
  </r>
  <r>
    <d v="2026-06-26T00:00:00"/>
    <s v="Line B"/>
    <x v="1"/>
    <x v="3"/>
    <x v="111"/>
    <n v="18"/>
    <n v="86"/>
    <n v="725"/>
    <n v="2.4226110363391662"/>
    <n v="97.577388963660837"/>
  </r>
  <r>
    <d v="2026-06-26T00:00:00"/>
    <s v="Line B"/>
    <x v="2"/>
    <x v="3"/>
    <x v="83"/>
    <n v="27"/>
    <n v="35"/>
    <n v="751"/>
    <n v="3.4704370179948589"/>
    <n v="96.529562982005146"/>
  </r>
  <r>
    <d v="2026-06-26T00:00:00"/>
    <s v="Line C"/>
    <x v="0"/>
    <x v="1"/>
    <x v="430"/>
    <n v="29"/>
    <n v="75"/>
    <n v="646"/>
    <n v="4.2962962962962958"/>
    <n v="95.703703703703695"/>
  </r>
  <r>
    <d v="2026-06-26T00:00:00"/>
    <s v="Line C"/>
    <x v="1"/>
    <x v="0"/>
    <x v="53"/>
    <n v="26"/>
    <n v="35"/>
    <n v="739"/>
    <n v="3.3986928104575158"/>
    <n v="96.601307189542482"/>
  </r>
  <r>
    <d v="2026-06-26T00:00:00"/>
    <s v="Line C"/>
    <x v="2"/>
    <x v="1"/>
    <x v="102"/>
    <n v="32"/>
    <n v="67"/>
    <n v="587"/>
    <n v="5.1696284329563813"/>
    <n v="94.830371567043613"/>
  </r>
  <r>
    <d v="2026-06-27T00:00:00"/>
    <s v="Line A"/>
    <x v="0"/>
    <x v="0"/>
    <x v="246"/>
    <n v="14"/>
    <n v="41"/>
    <n v="925"/>
    <n v="1.490947816826411"/>
    <n v="98.50905218317358"/>
  </r>
  <r>
    <d v="2026-06-27T00:00:00"/>
    <s v="Line A"/>
    <x v="1"/>
    <x v="3"/>
    <x v="238"/>
    <n v="12"/>
    <n v="69"/>
    <n v="839"/>
    <n v="1.410105757931845"/>
    <n v="98.589894242068155"/>
  </r>
  <r>
    <d v="2026-06-27T00:00:00"/>
    <s v="Line A"/>
    <x v="2"/>
    <x v="0"/>
    <x v="126"/>
    <n v="20"/>
    <n v="57"/>
    <n v="801"/>
    <n v="2.4360535931790501"/>
    <n v="97.563946406820946"/>
  </r>
  <r>
    <d v="2026-06-27T00:00:00"/>
    <s v="Line B"/>
    <x v="0"/>
    <x v="3"/>
    <x v="320"/>
    <n v="19"/>
    <n v="81"/>
    <n v="744"/>
    <n v="2.490170380078637"/>
    <n v="97.509829619921362"/>
  </r>
  <r>
    <d v="2026-06-27T00:00:00"/>
    <s v="Line B"/>
    <x v="1"/>
    <x v="1"/>
    <x v="316"/>
    <n v="25"/>
    <n v="25"/>
    <n v="739"/>
    <n v="3.2722513089005241"/>
    <n v="96.727748691099478"/>
  </r>
  <r>
    <d v="2026-06-27T00:00:00"/>
    <s v="Line B"/>
    <x v="2"/>
    <x v="1"/>
    <x v="289"/>
    <n v="29"/>
    <n v="48"/>
    <n v="667"/>
    <n v="4.1666666666666661"/>
    <n v="95.833333333333343"/>
  </r>
  <r>
    <d v="2026-06-27T00:00:00"/>
    <s v="Line C"/>
    <x v="0"/>
    <x v="0"/>
    <x v="189"/>
    <n v="27"/>
    <n v="51"/>
    <n v="752"/>
    <n v="3.4659820282413349"/>
    <n v="96.534017971758672"/>
  </r>
  <r>
    <d v="2026-06-27T00:00:00"/>
    <s v="Line C"/>
    <x v="1"/>
    <x v="3"/>
    <x v="49"/>
    <n v="25"/>
    <n v="46"/>
    <n v="699"/>
    <n v="3.45303867403315"/>
    <n v="96.546961325966848"/>
  </r>
  <r>
    <d v="2026-06-27T00:00:00"/>
    <s v="Line C"/>
    <x v="2"/>
    <x v="1"/>
    <x v="329"/>
    <n v="34"/>
    <n v="39"/>
    <n v="610"/>
    <n v="5.2795031055900621"/>
    <n v="94.720496894409933"/>
  </r>
  <r>
    <d v="2026-06-28T00:00:00"/>
    <s v="Line A"/>
    <x v="0"/>
    <x v="0"/>
    <x v="237"/>
    <n v="14"/>
    <n v="38"/>
    <n v="938"/>
    <n v="1.470588235294118"/>
    <n v="98.529411764705884"/>
  </r>
  <r>
    <d v="2026-06-28T00:00:00"/>
    <s v="Line A"/>
    <x v="1"/>
    <x v="3"/>
    <x v="203"/>
    <n v="12"/>
    <n v="41"/>
    <n v="837"/>
    <n v="1.4134275618374561"/>
    <n v="98.586572438162548"/>
  </r>
  <r>
    <d v="2026-06-28T00:00:00"/>
    <s v="Line A"/>
    <x v="2"/>
    <x v="0"/>
    <x v="343"/>
    <n v="20"/>
    <n v="68"/>
    <n v="812"/>
    <n v="2.4038461538461542"/>
    <n v="97.59615384615384"/>
  </r>
  <r>
    <d v="2026-06-28T00:00:00"/>
    <s v="Line B"/>
    <x v="0"/>
    <x v="3"/>
    <x v="248"/>
    <n v="19"/>
    <n v="71"/>
    <n v="741"/>
    <n v="2.5"/>
    <n v="97.5"/>
  </r>
  <r>
    <d v="2026-06-28T00:00:00"/>
    <s v="Line B"/>
    <x v="1"/>
    <x v="0"/>
    <x v="323"/>
    <n v="21"/>
    <n v="43"/>
    <n v="845"/>
    <n v="2.424942263279446"/>
    <n v="97.575057736720552"/>
  </r>
  <r>
    <d v="2026-06-28T00:00:00"/>
    <s v="Line B"/>
    <x v="2"/>
    <x v="0"/>
    <x v="94"/>
    <n v="25"/>
    <n v="64"/>
    <n v="703"/>
    <n v="3.4340659340659339"/>
    <n v="96.565934065934073"/>
  </r>
  <r>
    <d v="2026-06-28T00:00:00"/>
    <s v="Line C"/>
    <x v="0"/>
    <x v="2"/>
    <x v="77"/>
    <n v="27"/>
    <n v="40"/>
    <n v="772"/>
    <n v="3.3792240300375469"/>
    <n v="96.620775969962452"/>
  </r>
  <r>
    <d v="2026-06-28T00:00:00"/>
    <s v="Line C"/>
    <x v="1"/>
    <x v="2"/>
    <x v="133"/>
    <n v="25"/>
    <n v="87"/>
    <n v="706"/>
    <n v="3.4199726402188779"/>
    <n v="96.580027359781113"/>
  </r>
  <r>
    <d v="2026-06-28T00:00:00"/>
    <s v="Line C"/>
    <x v="2"/>
    <x v="1"/>
    <x v="287"/>
    <n v="30"/>
    <n v="87"/>
    <n v="544"/>
    <n v="5.2264808362369326"/>
    <n v="94.773519163763069"/>
  </r>
  <r>
    <d v="2026-06-29T00:00:00"/>
    <s v="Line A"/>
    <x v="0"/>
    <x v="2"/>
    <x v="375"/>
    <n v="13"/>
    <n v="78"/>
    <n v="914"/>
    <n v="1.4023732470334409"/>
    <n v="98.597626752966562"/>
  </r>
  <r>
    <d v="2026-06-29T00:00:00"/>
    <s v="Line A"/>
    <x v="1"/>
    <x v="0"/>
    <x v="178"/>
    <n v="12"/>
    <n v="66"/>
    <n v="849"/>
    <n v="1.393728222996516"/>
    <n v="98.606271777003485"/>
  </r>
  <r>
    <d v="2026-06-29T00:00:00"/>
    <s v="Line A"/>
    <x v="2"/>
    <x v="0"/>
    <x v="188"/>
    <n v="23"/>
    <n v="7"/>
    <n v="927"/>
    <n v="2.4210526315789469"/>
    <n v="97.578947368421055"/>
  </r>
  <r>
    <d v="2026-06-29T00:00:00"/>
    <s v="Line B"/>
    <x v="0"/>
    <x v="0"/>
    <x v="11"/>
    <n v="20"/>
    <n v="69"/>
    <n v="798"/>
    <n v="2.4449877750611249"/>
    <n v="97.555012224938878"/>
  </r>
  <r>
    <d v="2026-06-29T00:00:00"/>
    <s v="Line B"/>
    <x v="1"/>
    <x v="3"/>
    <x v="114"/>
    <n v="20"/>
    <n v="3"/>
    <n v="807"/>
    <n v="2.418379685610641"/>
    <n v="97.581620314389355"/>
  </r>
  <r>
    <d v="2026-06-29T00:00:00"/>
    <s v="Line B"/>
    <x v="2"/>
    <x v="1"/>
    <x v="207"/>
    <n v="29"/>
    <n v="58"/>
    <n v="658"/>
    <n v="4.2212518195050954"/>
    <n v="95.778748180494915"/>
  </r>
  <r>
    <d v="2026-06-29T00:00:00"/>
    <s v="Line C"/>
    <x v="0"/>
    <x v="1"/>
    <x v="173"/>
    <n v="32"/>
    <n v="29"/>
    <n v="722"/>
    <n v="4.2440318302387263"/>
    <n v="95.755968169761275"/>
  </r>
  <r>
    <d v="2026-06-29T00:00:00"/>
    <s v="Line C"/>
    <x v="1"/>
    <x v="0"/>
    <x v="22"/>
    <n v="28"/>
    <n v="3"/>
    <n v="791"/>
    <n v="3.4188034188034191"/>
    <n v="96.581196581196579"/>
  </r>
  <r>
    <d v="2026-06-29T00:00:00"/>
    <s v="Line C"/>
    <x v="2"/>
    <x v="2"/>
    <x v="166"/>
    <n v="33"/>
    <n v="46"/>
    <n v="702"/>
    <n v="4.4897959183673466"/>
    <n v="95.510204081632651"/>
  </r>
  <r>
    <d v="2026-06-30T00:00:00"/>
    <s v="Line A"/>
    <x v="0"/>
    <x v="1"/>
    <x v="234"/>
    <n v="19"/>
    <n v="64"/>
    <n v="849"/>
    <n v="2.188940092165899"/>
    <n v="97.811059907834093"/>
  </r>
  <r>
    <d v="2026-06-30T00:00:00"/>
    <s v="Line A"/>
    <x v="1"/>
    <x v="1"/>
    <x v="80"/>
    <n v="18"/>
    <n v="61"/>
    <n v="788"/>
    <n v="2.2332506203473939"/>
    <n v="97.766749379652609"/>
  </r>
  <r>
    <d v="2026-06-30T00:00:00"/>
    <s v="Line A"/>
    <x v="2"/>
    <x v="0"/>
    <x v="45"/>
    <n v="20"/>
    <n v="54"/>
    <n v="818"/>
    <n v="2.3866348448687349"/>
    <n v="97.613365155131262"/>
  </r>
  <r>
    <d v="2026-06-30T00:00:00"/>
    <s v="Line B"/>
    <x v="0"/>
    <x v="2"/>
    <x v="157"/>
    <n v="22"/>
    <n v="56"/>
    <n v="874"/>
    <n v="2.4553571428571428"/>
    <n v="97.544642857142861"/>
  </r>
  <r>
    <d v="2026-06-30T00:00:00"/>
    <s v="Line B"/>
    <x v="1"/>
    <x v="3"/>
    <x v="12"/>
    <n v="20"/>
    <n v="57"/>
    <n v="788"/>
    <n v="2.4752475247524748"/>
    <n v="97.524752475247524"/>
  </r>
  <r>
    <d v="2026-06-30T00:00:00"/>
    <s v="Line B"/>
    <x v="2"/>
    <x v="1"/>
    <x v="21"/>
    <n v="31"/>
    <n v="20"/>
    <n v="690"/>
    <n v="4.2995839112343974"/>
    <n v="95.700416088765607"/>
  </r>
  <r>
    <d v="2026-06-30T00:00:00"/>
    <s v="Line C"/>
    <x v="0"/>
    <x v="0"/>
    <x v="173"/>
    <n v="26"/>
    <n v="57"/>
    <n v="728"/>
    <n v="3.4482758620689649"/>
    <n v="96.551724137931032"/>
  </r>
  <r>
    <d v="2026-06-30T00:00:00"/>
    <s v="Line C"/>
    <x v="1"/>
    <x v="2"/>
    <x v="22"/>
    <n v="28"/>
    <n v="30"/>
    <n v="791"/>
    <n v="3.4188034188034191"/>
    <n v="96.581196581196579"/>
  </r>
  <r>
    <d v="2026-06-30T00:00:00"/>
    <s v="Line C"/>
    <x v="2"/>
    <x v="3"/>
    <x v="431"/>
    <n v="26"/>
    <n v="87"/>
    <n v="562"/>
    <n v="4.4217687074829932"/>
    <n v="95.578231292517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7A23B-900B-4162-8E38-4B6ECDF6FB5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8" firstHeaderRow="1" firstDataRow="2" firstDataCol="1"/>
  <pivotFields count="10">
    <pivotField numFmtId="165" showAll="0"/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5">
        <item x="2"/>
        <item x="0"/>
        <item x="3"/>
        <item x="1"/>
        <item t="default"/>
      </items>
    </pivotField>
    <pivotField dataField="1" showAll="0">
      <items count="433">
        <item x="319"/>
        <item x="266"/>
        <item x="424"/>
        <item x="287"/>
        <item x="8"/>
        <item x="221"/>
        <item x="107"/>
        <item x="372"/>
        <item x="431"/>
        <item x="256"/>
        <item x="262"/>
        <item x="425"/>
        <item x="347"/>
        <item x="96"/>
        <item x="43"/>
        <item x="269"/>
        <item x="64"/>
        <item x="404"/>
        <item x="385"/>
        <item x="50"/>
        <item x="410"/>
        <item x="161"/>
        <item x="17"/>
        <item x="102"/>
        <item x="147"/>
        <item x="270"/>
        <item x="363"/>
        <item x="127"/>
        <item x="416"/>
        <item x="396"/>
        <item x="306"/>
        <item x="359"/>
        <item x="32"/>
        <item x="245"/>
        <item x="371"/>
        <item x="307"/>
        <item x="112"/>
        <item x="414"/>
        <item x="395"/>
        <item x="353"/>
        <item x="292"/>
        <item x="423"/>
        <item x="249"/>
        <item x="72"/>
        <item x="236"/>
        <item x="329"/>
        <item x="113"/>
        <item x="211"/>
        <item x="379"/>
        <item x="341"/>
        <item x="286"/>
        <item x="305"/>
        <item x="365"/>
        <item x="321"/>
        <item x="261"/>
        <item x="191"/>
        <item x="280"/>
        <item x="40"/>
        <item x="7"/>
        <item x="141"/>
        <item x="79"/>
        <item x="384"/>
        <item x="235"/>
        <item x="428"/>
        <item x="151"/>
        <item x="303"/>
        <item x="34"/>
        <item x="389"/>
        <item x="315"/>
        <item x="402"/>
        <item x="412"/>
        <item x="327"/>
        <item x="367"/>
        <item x="430"/>
        <item x="152"/>
        <item x="344"/>
        <item x="346"/>
        <item x="42"/>
        <item x="63"/>
        <item x="195"/>
        <item x="357"/>
        <item x="128"/>
        <item x="171"/>
        <item x="381"/>
        <item x="301"/>
        <item x="207"/>
        <item x="240"/>
        <item x="210"/>
        <item x="388"/>
        <item x="413"/>
        <item x="146"/>
        <item x="277"/>
        <item x="289"/>
        <item x="317"/>
        <item x="302"/>
        <item x="356"/>
        <item x="228"/>
        <item x="338"/>
        <item x="290"/>
        <item x="279"/>
        <item x="101"/>
        <item x="304"/>
        <item x="61"/>
        <item x="243"/>
        <item x="176"/>
        <item x="239"/>
        <item x="137"/>
        <item x="70"/>
        <item x="233"/>
        <item x="16"/>
        <item x="4"/>
        <item x="145"/>
        <item x="226"/>
        <item x="87"/>
        <item x="95"/>
        <item x="21"/>
        <item x="331"/>
        <item x="33"/>
        <item x="49"/>
        <item x="259"/>
        <item x="59"/>
        <item x="216"/>
        <item x="94"/>
        <item x="90"/>
        <item x="25"/>
        <item x="133"/>
        <item x="332"/>
        <item x="56"/>
        <item x="311"/>
        <item x="166"/>
        <item x="54"/>
        <item x="125"/>
        <item x="106"/>
        <item x="300"/>
        <item x="172"/>
        <item x="339"/>
        <item x="308"/>
        <item x="111"/>
        <item x="15"/>
        <item x="278"/>
        <item x="2"/>
        <item x="158"/>
        <item x="225"/>
        <item x="89"/>
        <item x="24"/>
        <item x="163"/>
        <item x="71"/>
        <item x="194"/>
        <item x="173"/>
        <item x="140"/>
        <item x="417"/>
        <item x="30"/>
        <item x="284"/>
        <item x="254"/>
        <item x="248"/>
        <item x="241"/>
        <item x="205"/>
        <item x="320"/>
        <item x="316"/>
        <item x="53"/>
        <item x="48"/>
        <item x="182"/>
        <item x="291"/>
        <item x="215"/>
        <item x="361"/>
        <item x="167"/>
        <item x="232"/>
        <item x="85"/>
        <item x="364"/>
        <item x="183"/>
        <item x="299"/>
        <item x="143"/>
        <item x="83"/>
        <item x="189"/>
        <item x="220"/>
        <item x="250"/>
        <item x="227"/>
        <item x="5"/>
        <item x="181"/>
        <item x="98"/>
        <item x="69"/>
        <item x="264"/>
        <item x="265"/>
        <item x="193"/>
        <item x="86"/>
        <item x="200"/>
        <item x="31"/>
        <item x="294"/>
        <item x="124"/>
        <item x="110"/>
        <item x="159"/>
        <item x="28"/>
        <item x="409"/>
        <item x="77"/>
        <item x="186"/>
        <item x="219"/>
        <item x="160"/>
        <item x="76"/>
        <item x="92"/>
        <item x="37"/>
        <item x="80"/>
        <item x="6"/>
        <item x="12"/>
        <item x="177"/>
        <item x="206"/>
        <item x="231"/>
        <item x="82"/>
        <item x="214"/>
        <item x="14"/>
        <item x="78"/>
        <item x="324"/>
        <item x="93"/>
        <item x="11"/>
        <item x="22"/>
        <item x="164"/>
        <item x="126"/>
        <item x="209"/>
        <item x="201"/>
        <item x="258"/>
        <item x="255"/>
        <item x="47"/>
        <item x="114"/>
        <item x="118"/>
        <item x="134"/>
        <item x="46"/>
        <item x="41"/>
        <item x="343"/>
        <item x="218"/>
        <item x="268"/>
        <item x="123"/>
        <item x="251"/>
        <item x="179"/>
        <item x="45"/>
        <item x="165"/>
        <item x="44"/>
        <item x="155"/>
        <item x="55"/>
        <item x="67"/>
        <item x="144"/>
        <item x="293"/>
        <item x="222"/>
        <item x="285"/>
        <item x="203"/>
        <item x="13"/>
        <item x="238"/>
        <item x="244"/>
        <item x="18"/>
        <item x="23"/>
        <item x="297"/>
        <item x="75"/>
        <item x="39"/>
        <item x="154"/>
        <item x="119"/>
        <item x="62"/>
        <item x="178"/>
        <item x="204"/>
        <item x="19"/>
        <item x="149"/>
        <item x="352"/>
        <item x="323"/>
        <item x="281"/>
        <item x="234"/>
        <item x="60"/>
        <item x="122"/>
        <item x="260"/>
        <item x="374"/>
        <item x="394"/>
        <item x="115"/>
        <item x="271"/>
        <item x="199"/>
        <item x="104"/>
        <item x="223"/>
        <item x="97"/>
        <item x="273"/>
        <item x="242"/>
        <item x="29"/>
        <item x="283"/>
        <item x="103"/>
        <item x="131"/>
        <item x="322"/>
        <item x="403"/>
        <item x="0"/>
        <item x="58"/>
        <item x="135"/>
        <item x="340"/>
        <item x="362"/>
        <item x="91"/>
        <item x="377"/>
        <item x="157"/>
        <item x="132"/>
        <item x="168"/>
        <item x="38"/>
        <item x="105"/>
        <item x="276"/>
        <item x="116"/>
        <item x="274"/>
        <item x="187"/>
        <item x="400"/>
        <item x="121"/>
        <item x="108"/>
        <item x="253"/>
        <item x="139"/>
        <item x="190"/>
        <item x="120"/>
        <item x="74"/>
        <item x="272"/>
        <item x="217"/>
        <item x="288"/>
        <item x="368"/>
        <item x="382"/>
        <item x="1"/>
        <item x="208"/>
        <item x="20"/>
        <item x="390"/>
        <item x="68"/>
        <item x="142"/>
        <item x="420"/>
        <item x="358"/>
        <item x="375"/>
        <item x="392"/>
        <item x="263"/>
        <item x="51"/>
        <item x="397"/>
        <item x="230"/>
        <item x="138"/>
        <item x="386"/>
        <item x="391"/>
        <item x="117"/>
        <item x="314"/>
        <item x="246"/>
        <item x="153"/>
        <item x="355"/>
        <item x="175"/>
        <item x="150"/>
        <item x="180"/>
        <item x="421"/>
        <item x="174"/>
        <item x="52"/>
        <item x="188"/>
        <item x="224"/>
        <item x="237"/>
        <item x="418"/>
        <item x="81"/>
        <item x="295"/>
        <item x="129"/>
        <item x="100"/>
        <item x="88"/>
        <item x="9"/>
        <item x="3"/>
        <item x="148"/>
        <item x="162"/>
        <item x="310"/>
        <item x="10"/>
        <item x="354"/>
        <item x="422"/>
        <item x="298"/>
        <item x="198"/>
        <item x="156"/>
        <item x="185"/>
        <item x="170"/>
        <item x="213"/>
        <item x="313"/>
        <item x="380"/>
        <item x="275"/>
        <item x="334"/>
        <item x="66"/>
        <item x="312"/>
        <item x="73"/>
        <item x="378"/>
        <item x="318"/>
        <item x="252"/>
        <item x="84"/>
        <item x="35"/>
        <item x="109"/>
        <item x="197"/>
        <item x="326"/>
        <item x="247"/>
        <item x="130"/>
        <item x="337"/>
        <item x="99"/>
        <item x="65"/>
        <item x="406"/>
        <item x="57"/>
        <item x="136"/>
        <item x="330"/>
        <item x="282"/>
        <item x="408"/>
        <item x="212"/>
        <item x="196"/>
        <item x="349"/>
        <item x="325"/>
        <item x="369"/>
        <item x="27"/>
        <item x="336"/>
        <item x="427"/>
        <item x="348"/>
        <item x="373"/>
        <item x="376"/>
        <item x="415"/>
        <item x="333"/>
        <item x="257"/>
        <item x="36"/>
        <item x="383"/>
        <item x="366"/>
        <item x="351"/>
        <item x="345"/>
        <item x="419"/>
        <item x="309"/>
        <item x="169"/>
        <item x="342"/>
        <item x="411"/>
        <item x="426"/>
        <item x="229"/>
        <item x="405"/>
        <item x="360"/>
        <item x="429"/>
        <item x="26"/>
        <item x="387"/>
        <item x="335"/>
        <item x="398"/>
        <item x="399"/>
        <item x="401"/>
        <item x="184"/>
        <item x="296"/>
        <item x="393"/>
        <item x="202"/>
        <item x="350"/>
        <item x="407"/>
        <item x="192"/>
        <item x="328"/>
        <item x="267"/>
        <item x="370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duced_Units" fld="4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FF33F4-E1F9-4904-B3EA-EA2551098CA4}" name="tblProduction" displayName="tblProduction" ref="A1:L1610" totalsRowShown="0" headerRowDxfId="3">
  <autoFilter ref="A1:L1610" xr:uid="{9EFF33F4-E1F9-4904-B3EA-EA2551098CA4}"/>
  <tableColumns count="12">
    <tableColumn id="1" xr3:uid="{FB533B69-06DC-4A6D-BC93-3BB0CC0328B1}" name="Column1" dataDxfId="4"/>
    <tableColumn id="2" xr3:uid="{84B2B81A-B6FA-4691-BD48-28A4751D54C5}" name="Line"/>
    <tableColumn id="3" xr3:uid="{843F6CBF-6B6A-4F79-BA83-FDF0C46B77E0}" name="Shift"/>
    <tableColumn id="4" xr3:uid="{7EFC22B4-482B-4245-A715-92A6B1D9826A}" name="Product"/>
    <tableColumn id="5" xr3:uid="{0DC62282-74DC-40E0-A743-5F0F4BDC00D8}" name="Produced_Units"/>
    <tableColumn id="6" xr3:uid="{B075E2C2-3868-4A59-80C2-810CB2EC4838}" name="Defect_Count"/>
    <tableColumn id="7" xr3:uid="{8591BD3E-D919-4685-B768-C886BC6DCDCB}" name="Downtime_Minutes"/>
    <tableColumn id="8" xr3:uid="{7F20ED14-1AC8-4D96-ACE7-14B895834F45}" name="Good_Units"/>
    <tableColumn id="9" xr3:uid="{AF81BFB4-2C62-4EAC-A5B2-CD6FD609872C}" name="Defect_Rate"/>
    <tableColumn id="10" xr3:uid="{0CC74A38-D5D5-429A-9E39-F9854E7569D9}" name="Production_Efficiency"/>
    <tableColumn id="11" xr3:uid="{C07CD381-FCAB-4918-ABB0-C4BDD59037E7}" name="Category" dataDxfId="1">
      <calculatedColumnFormula>_xlfn.XLOOKUP(tblProduction[[#This Row],[Product]],tblProducts[Product],tblProducts[Category],"Not Found")</calculatedColumnFormula>
    </tableColumn>
    <tableColumn id="12" xr3:uid="{147E4B88-A73F-48EB-9385-C4CA99694E62}" name="Target_Units" dataDxfId="0">
      <calculatedColumnFormula>_xlfn.XLOOKUP(tblProduction[[#This Row],[Product]],tblProducts[Product],tblProducts[Target_Units],"Not Found")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D1F568-11AF-4E35-AE34-4AB901F37DBF}" name="tblProducts" displayName="tblProducts" ref="A1:D5" totalsRowShown="0" headerRowDxfId="2">
  <autoFilter ref="A1:D5" xr:uid="{C5D1F568-11AF-4E35-AE34-4AB901F37DBF}"/>
  <tableColumns count="4">
    <tableColumn id="1" xr3:uid="{5AAAD830-7B40-4488-B5CC-264FBD851443}" name="Product"/>
    <tableColumn id="2" xr3:uid="{BF4E16C6-B297-4D6B-BF53-2F63563B11E7}" name="Product Name"/>
    <tableColumn id="3" xr3:uid="{E2D33747-78D0-4589-8EE6-7990838BEFD6}" name="Category"/>
    <tableColumn id="4" xr3:uid="{9D150C17-D38E-44F0-B0DC-8EAE44A820CD}" name="Target_Uni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10"/>
  <sheetViews>
    <sheetView topLeftCell="A1584" workbookViewId="0">
      <selection activeCell="O15" sqref="O15"/>
    </sheetView>
  </sheetViews>
  <sheetFormatPr defaultRowHeight="14.4" x14ac:dyDescent="0.3"/>
  <cols>
    <col min="1" max="1" width="18.109375" bestFit="1" customWidth="1"/>
    <col min="2" max="2" width="6.33203125" customWidth="1"/>
    <col min="3" max="3" width="7.77734375" bestFit="1" customWidth="1"/>
    <col min="4" max="4" width="9.5546875" customWidth="1"/>
    <col min="5" max="5" width="16.33203125" customWidth="1"/>
    <col min="6" max="6" width="14.44140625" customWidth="1"/>
    <col min="7" max="7" width="19.44140625" customWidth="1"/>
    <col min="8" max="8" width="12.77734375" customWidth="1"/>
    <col min="9" max="9" width="13.109375" customWidth="1"/>
    <col min="10" max="10" width="21.33203125" customWidth="1"/>
    <col min="11" max="11" width="10.77734375" bestFit="1" customWidth="1"/>
    <col min="12" max="12" width="13.88671875" bestFit="1" customWidth="1"/>
    <col min="15" max="15" width="18.5546875" bestFit="1" customWidth="1"/>
  </cols>
  <sheetData>
    <row r="1" spans="1:15" x14ac:dyDescent="0.3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30</v>
      </c>
      <c r="L1" s="2" t="s">
        <v>31</v>
      </c>
      <c r="O1" s="7" t="s">
        <v>29</v>
      </c>
    </row>
    <row r="2" spans="1:15" x14ac:dyDescent="0.3">
      <c r="A2" s="1">
        <v>46023</v>
      </c>
      <c r="B2" t="s">
        <v>9</v>
      </c>
      <c r="C2" t="s">
        <v>10</v>
      </c>
      <c r="D2" t="s">
        <v>11</v>
      </c>
      <c r="E2">
        <v>889</v>
      </c>
      <c r="F2">
        <v>13</v>
      </c>
      <c r="G2">
        <v>77</v>
      </c>
      <c r="H2">
        <v>876</v>
      </c>
      <c r="I2">
        <v>1.462317210348707</v>
      </c>
      <c r="J2">
        <v>98.537682789651299</v>
      </c>
      <c r="K2" t="str">
        <f>_xlfn.XLOOKUP(tblProduction[[#This Row],[Product]],tblProducts[Product],tblProducts[Category],"Not Found")</f>
        <v>Precision</v>
      </c>
      <c r="L2">
        <f>_xlfn.XLOOKUP(tblProduction[[#This Row],[Product]],tblProducts[Product],tblProducts[Target_Units],"Not Found")</f>
        <v>950</v>
      </c>
      <c r="O2" t="str">
        <f>_xlfn.XLOOKUP(tblProduction[[#This Row],[Product]],tblProducts[Product],tblProducts[Product Name], "Not Found")</f>
        <v>Precision Component</v>
      </c>
    </row>
    <row r="3" spans="1:15" x14ac:dyDescent="0.3">
      <c r="A3" s="1">
        <v>46023</v>
      </c>
      <c r="B3" t="s">
        <v>9</v>
      </c>
      <c r="C3" t="s">
        <v>12</v>
      </c>
      <c r="D3" t="s">
        <v>11</v>
      </c>
      <c r="E3">
        <v>918</v>
      </c>
      <c r="F3">
        <v>13</v>
      </c>
      <c r="G3">
        <v>28</v>
      </c>
      <c r="H3">
        <v>905</v>
      </c>
      <c r="I3">
        <v>1.416122004357298</v>
      </c>
      <c r="J3">
        <v>98.583877995642695</v>
      </c>
      <c r="K3" t="str">
        <f>_xlfn.XLOOKUP(tblProduction[[#This Row],[Product]],tblProducts[Product],tblProducts[Category],"Not Found")</f>
        <v>Precision</v>
      </c>
      <c r="L3">
        <f>_xlfn.XLOOKUP(tblProduction[[#This Row],[Product]],tblProducts[Product],tblProducts[Target_Units],"Not Found")</f>
        <v>950</v>
      </c>
      <c r="O3" t="str">
        <f>_xlfn.XLOOKUP(tblProduction[[#This Row],[Product]],tblProducts[Product],tblProducts[Product Name], "Not Found")</f>
        <v>Precision Component</v>
      </c>
    </row>
    <row r="4" spans="1:15" x14ac:dyDescent="0.3">
      <c r="A4" s="1">
        <v>46023</v>
      </c>
      <c r="B4" t="s">
        <v>9</v>
      </c>
      <c r="C4" t="s">
        <v>13</v>
      </c>
      <c r="D4" t="s">
        <v>14</v>
      </c>
      <c r="E4">
        <v>746</v>
      </c>
      <c r="F4">
        <v>24</v>
      </c>
      <c r="G4">
        <v>35</v>
      </c>
      <c r="H4">
        <v>722</v>
      </c>
      <c r="I4">
        <v>3.2171581769437001</v>
      </c>
      <c r="J4">
        <v>96.782841823056302</v>
      </c>
      <c r="K4" t="str">
        <f>_xlfn.XLOOKUP(tblProduction[[#This Row],[Product]],tblProducts[Product],tblProducts[Category],"Not Found")</f>
        <v>Assembly</v>
      </c>
      <c r="L4">
        <f>_xlfn.XLOOKUP(tblProduction[[#This Row],[Product]],tblProducts[Product],tblProducts[Target_Units],"Not Found")</f>
        <v>850</v>
      </c>
      <c r="O4" t="str">
        <f>_xlfn.XLOOKUP(tblProduction[[#This Row],[Product]],tblProducts[Product],tblProducts[Product Name], "Not Found")</f>
        <v>Complex Assembly</v>
      </c>
    </row>
    <row r="5" spans="1:15" x14ac:dyDescent="0.3">
      <c r="A5" s="1">
        <v>46023</v>
      </c>
      <c r="B5" t="s">
        <v>15</v>
      </c>
      <c r="C5" t="s">
        <v>10</v>
      </c>
      <c r="D5" t="s">
        <v>16</v>
      </c>
      <c r="E5">
        <v>962</v>
      </c>
      <c r="F5">
        <v>24</v>
      </c>
      <c r="G5">
        <v>31</v>
      </c>
      <c r="H5">
        <v>938</v>
      </c>
      <c r="I5">
        <v>2.4948024948024949</v>
      </c>
      <c r="J5">
        <v>97.505197505197501</v>
      </c>
      <c r="K5" t="str">
        <f>_xlfn.XLOOKUP(tblProduction[[#This Row],[Product]],tblProducts[Product],tblProducts[Category],"Not Found")</f>
        <v>Standard</v>
      </c>
      <c r="L5">
        <f>_xlfn.XLOOKUP(tblProduction[[#This Row],[Product]],tblProducts[Product],tblProducts[Target_Units],"Not Found")</f>
        <v>1000</v>
      </c>
      <c r="O5" t="str">
        <f>_xlfn.XLOOKUP(tblProduction[[#This Row],[Product]],tblProducts[Product],tblProducts[Product Name], "Not Found")</f>
        <v>Standart Component</v>
      </c>
    </row>
    <row r="6" spans="1:15" x14ac:dyDescent="0.3">
      <c r="A6" s="1">
        <v>46023</v>
      </c>
      <c r="B6" t="s">
        <v>15</v>
      </c>
      <c r="C6" t="s">
        <v>12</v>
      </c>
      <c r="D6" t="s">
        <v>14</v>
      </c>
      <c r="E6">
        <v>716</v>
      </c>
      <c r="F6">
        <v>23</v>
      </c>
      <c r="G6">
        <v>71</v>
      </c>
      <c r="H6">
        <v>693</v>
      </c>
      <c r="I6">
        <v>3.2122905027932962</v>
      </c>
      <c r="J6">
        <v>96.787709497206706</v>
      </c>
      <c r="K6" t="str">
        <f>_xlfn.XLOOKUP(tblProduction[[#This Row],[Product]],tblProducts[Product],tblProducts[Category],"Not Found")</f>
        <v>Assembly</v>
      </c>
      <c r="L6">
        <f>_xlfn.XLOOKUP(tblProduction[[#This Row],[Product]],tblProducts[Product],tblProducts[Target_Units],"Not Found")</f>
        <v>850</v>
      </c>
    </row>
    <row r="7" spans="1:15" x14ac:dyDescent="0.3">
      <c r="A7" s="1">
        <v>46023</v>
      </c>
      <c r="B7" t="s">
        <v>15</v>
      </c>
      <c r="C7" t="s">
        <v>13</v>
      </c>
      <c r="D7" t="s">
        <v>11</v>
      </c>
      <c r="E7">
        <v>783</v>
      </c>
      <c r="F7">
        <v>27</v>
      </c>
      <c r="G7">
        <v>12</v>
      </c>
      <c r="H7">
        <v>756</v>
      </c>
      <c r="I7">
        <v>3.4482758620689649</v>
      </c>
      <c r="J7">
        <v>96.551724137931032</v>
      </c>
      <c r="K7" t="str">
        <f>_xlfn.XLOOKUP(tblProduction[[#This Row],[Product]],tblProducts[Product],tblProducts[Category],"Not Found")</f>
        <v>Precision</v>
      </c>
      <c r="L7">
        <f>_xlfn.XLOOKUP(tblProduction[[#This Row],[Product]],tblProducts[Product],tblProducts[Target_Units],"Not Found")</f>
        <v>950</v>
      </c>
    </row>
    <row r="8" spans="1:15" x14ac:dyDescent="0.3">
      <c r="A8" s="1">
        <v>46023</v>
      </c>
      <c r="B8" t="s">
        <v>17</v>
      </c>
      <c r="C8" t="s">
        <v>10</v>
      </c>
      <c r="D8" t="s">
        <v>16</v>
      </c>
      <c r="E8">
        <v>807</v>
      </c>
      <c r="F8">
        <v>28</v>
      </c>
      <c r="G8">
        <v>60</v>
      </c>
      <c r="H8">
        <v>779</v>
      </c>
      <c r="I8">
        <v>3.4696406443618342</v>
      </c>
      <c r="J8">
        <v>96.530359355638168</v>
      </c>
      <c r="K8" t="str">
        <f>_xlfn.XLOOKUP(tblProduction[[#This Row],[Product]],tblProducts[Product],tblProducts[Category],"Not Found")</f>
        <v>Standard</v>
      </c>
      <c r="L8">
        <f>_xlfn.XLOOKUP(tblProduction[[#This Row],[Product]],tblProducts[Product],tblProducts[Target_Units],"Not Found")</f>
        <v>1000</v>
      </c>
    </row>
    <row r="9" spans="1:15" x14ac:dyDescent="0.3">
      <c r="A9" s="1">
        <v>46023</v>
      </c>
      <c r="B9" t="s">
        <v>17</v>
      </c>
      <c r="C9" t="s">
        <v>12</v>
      </c>
      <c r="D9" t="s">
        <v>14</v>
      </c>
      <c r="E9">
        <v>660</v>
      </c>
      <c r="F9">
        <v>28</v>
      </c>
      <c r="G9">
        <v>68</v>
      </c>
      <c r="H9">
        <v>632</v>
      </c>
      <c r="I9">
        <v>4.2424242424242431</v>
      </c>
      <c r="J9">
        <v>95.757575757575751</v>
      </c>
      <c r="K9" t="str">
        <f>_xlfn.XLOOKUP(tblProduction[[#This Row],[Product]],tblProducts[Product],tblProducts[Category],"Not Found")</f>
        <v>Assembly</v>
      </c>
      <c r="L9">
        <f>_xlfn.XLOOKUP(tblProduction[[#This Row],[Product]],tblProducts[Product],tblProducts[Target_Units],"Not Found")</f>
        <v>850</v>
      </c>
    </row>
    <row r="10" spans="1:15" x14ac:dyDescent="0.3">
      <c r="A10" s="1">
        <v>46023</v>
      </c>
      <c r="B10" t="s">
        <v>17</v>
      </c>
      <c r="C10" t="s">
        <v>13</v>
      </c>
      <c r="D10" t="s">
        <v>14</v>
      </c>
      <c r="E10">
        <v>576</v>
      </c>
      <c r="F10">
        <v>30</v>
      </c>
      <c r="G10">
        <v>67</v>
      </c>
      <c r="H10">
        <v>546</v>
      </c>
      <c r="I10">
        <v>5.2083333333333339</v>
      </c>
      <c r="J10">
        <v>94.791666666666657</v>
      </c>
      <c r="K10" t="str">
        <f>_xlfn.XLOOKUP(tblProduction[[#This Row],[Product]],tblProducts[Product],tblProducts[Category],"Not Found")</f>
        <v>Assembly</v>
      </c>
      <c r="L10">
        <f>_xlfn.XLOOKUP(tblProduction[[#This Row],[Product]],tblProducts[Product],tblProducts[Target_Units],"Not Found")</f>
        <v>850</v>
      </c>
    </row>
    <row r="11" spans="1:15" x14ac:dyDescent="0.3">
      <c r="A11" s="1">
        <v>46024</v>
      </c>
      <c r="B11" t="s">
        <v>9</v>
      </c>
      <c r="C11" t="s">
        <v>10</v>
      </c>
      <c r="D11" t="s">
        <v>11</v>
      </c>
      <c r="E11">
        <v>961</v>
      </c>
      <c r="F11">
        <v>14</v>
      </c>
      <c r="G11">
        <v>40</v>
      </c>
      <c r="H11">
        <v>947</v>
      </c>
      <c r="I11">
        <v>1.4568158168574401</v>
      </c>
      <c r="J11">
        <v>98.543184183142557</v>
      </c>
      <c r="K11" t="str">
        <f>_xlfn.XLOOKUP(tblProduction[[#This Row],[Product]],tblProducts[Product],tblProducts[Category],"Not Found")</f>
        <v>Precision</v>
      </c>
      <c r="L11">
        <f>_xlfn.XLOOKUP(tblProduction[[#This Row],[Product]],tblProducts[Product],tblProducts[Target_Units],"Not Found")</f>
        <v>950</v>
      </c>
    </row>
    <row r="12" spans="1:15" x14ac:dyDescent="0.3">
      <c r="A12" s="1">
        <v>46024</v>
      </c>
      <c r="B12" t="s">
        <v>9</v>
      </c>
      <c r="C12" t="s">
        <v>12</v>
      </c>
      <c r="D12" t="s">
        <v>11</v>
      </c>
      <c r="E12">
        <v>967</v>
      </c>
      <c r="F12">
        <v>14</v>
      </c>
      <c r="G12">
        <v>24</v>
      </c>
      <c r="H12">
        <v>953</v>
      </c>
      <c r="I12">
        <v>1.4477766287487071</v>
      </c>
      <c r="J12">
        <v>98.552223371251287</v>
      </c>
      <c r="K12" t="str">
        <f>_xlfn.XLOOKUP(tblProduction[[#This Row],[Product]],tblProducts[Product],tblProducts[Category],"Not Found")</f>
        <v>Precision</v>
      </c>
      <c r="L12">
        <f>_xlfn.XLOOKUP(tblProduction[[#This Row],[Product]],tblProducts[Product],tblProducts[Target_Units],"Not Found")</f>
        <v>950</v>
      </c>
    </row>
    <row r="13" spans="1:15" x14ac:dyDescent="0.3">
      <c r="A13" s="1">
        <v>46024</v>
      </c>
      <c r="B13" t="s">
        <v>9</v>
      </c>
      <c r="C13" t="s">
        <v>13</v>
      </c>
      <c r="D13" t="s">
        <v>16</v>
      </c>
      <c r="E13">
        <v>818</v>
      </c>
      <c r="F13">
        <v>20</v>
      </c>
      <c r="G13">
        <v>78</v>
      </c>
      <c r="H13">
        <v>798</v>
      </c>
      <c r="I13">
        <v>2.4449877750611249</v>
      </c>
      <c r="J13">
        <v>97.555012224938878</v>
      </c>
      <c r="K13" t="str">
        <f>_xlfn.XLOOKUP(tblProduction[[#This Row],[Product]],tblProducts[Product],tblProducts[Category],"Not Found")</f>
        <v>Standard</v>
      </c>
      <c r="L13">
        <f>_xlfn.XLOOKUP(tblProduction[[#This Row],[Product]],tblProducts[Product],tblProducts[Target_Units],"Not Found")</f>
        <v>1000</v>
      </c>
    </row>
    <row r="14" spans="1:15" x14ac:dyDescent="0.3">
      <c r="A14" s="1">
        <v>46024</v>
      </c>
      <c r="B14" t="s">
        <v>15</v>
      </c>
      <c r="C14" t="s">
        <v>10</v>
      </c>
      <c r="D14" t="s">
        <v>11</v>
      </c>
      <c r="E14">
        <v>808</v>
      </c>
      <c r="F14">
        <v>20</v>
      </c>
      <c r="G14">
        <v>79</v>
      </c>
      <c r="H14">
        <v>788</v>
      </c>
      <c r="I14">
        <v>2.4752475247524748</v>
      </c>
      <c r="J14">
        <v>97.524752475247524</v>
      </c>
      <c r="K14" t="str">
        <f>_xlfn.XLOOKUP(tblProduction[[#This Row],[Product]],tblProducts[Product],tblProducts[Category],"Not Found")</f>
        <v>Precision</v>
      </c>
      <c r="L14">
        <f>_xlfn.XLOOKUP(tblProduction[[#This Row],[Product]],tblProducts[Product],tblProducts[Target_Units],"Not Found")</f>
        <v>950</v>
      </c>
    </row>
    <row r="15" spans="1:15" x14ac:dyDescent="0.3">
      <c r="A15" s="1">
        <v>46024</v>
      </c>
      <c r="B15" t="s">
        <v>15</v>
      </c>
      <c r="C15" t="s">
        <v>12</v>
      </c>
      <c r="D15" t="s">
        <v>18</v>
      </c>
      <c r="E15">
        <v>850</v>
      </c>
      <c r="F15">
        <v>21</v>
      </c>
      <c r="G15">
        <v>18</v>
      </c>
      <c r="H15">
        <v>829</v>
      </c>
      <c r="I15">
        <v>2.4705882352941169</v>
      </c>
      <c r="J15">
        <v>97.529411764705884</v>
      </c>
      <c r="K15" t="str">
        <f>_xlfn.XLOOKUP(tblProduction[[#This Row],[Product]],tblProducts[Product],tblProducts[Category],"Not Found")</f>
        <v>Assembly</v>
      </c>
      <c r="L15">
        <f>_xlfn.XLOOKUP(tblProduction[[#This Row],[Product]],tblProducts[Product],tblProducts[Target_Units],"Not Found")</f>
        <v>900</v>
      </c>
    </row>
    <row r="16" spans="1:15" x14ac:dyDescent="0.3">
      <c r="A16" s="1">
        <v>46024</v>
      </c>
      <c r="B16" t="s">
        <v>15</v>
      </c>
      <c r="C16" t="s">
        <v>13</v>
      </c>
      <c r="D16" t="s">
        <v>16</v>
      </c>
      <c r="E16">
        <v>814</v>
      </c>
      <c r="F16">
        <v>28</v>
      </c>
      <c r="G16">
        <v>17</v>
      </c>
      <c r="H16">
        <v>786</v>
      </c>
      <c r="I16">
        <v>3.4398034398034398</v>
      </c>
      <c r="J16">
        <v>96.560196560196559</v>
      </c>
      <c r="K16" t="str">
        <f>_xlfn.XLOOKUP(tblProduction[[#This Row],[Product]],tblProducts[Product],tblProducts[Category],"Not Found")</f>
        <v>Standard</v>
      </c>
      <c r="L16">
        <f>_xlfn.XLOOKUP(tblProduction[[#This Row],[Product]],tblProducts[Product],tblProducts[Target_Units],"Not Found")</f>
        <v>1000</v>
      </c>
    </row>
    <row r="17" spans="1:12" x14ac:dyDescent="0.3">
      <c r="A17" s="1">
        <v>46024</v>
      </c>
      <c r="B17" t="s">
        <v>17</v>
      </c>
      <c r="C17" t="s">
        <v>10</v>
      </c>
      <c r="D17" t="s">
        <v>18</v>
      </c>
      <c r="E17">
        <v>744</v>
      </c>
      <c r="F17">
        <v>26</v>
      </c>
      <c r="G17">
        <v>49</v>
      </c>
      <c r="H17">
        <v>718</v>
      </c>
      <c r="I17">
        <v>3.4946236559139781</v>
      </c>
      <c r="J17">
        <v>96.505376344086031</v>
      </c>
      <c r="K17" t="str">
        <f>_xlfn.XLOOKUP(tblProduction[[#This Row],[Product]],tblProducts[Product],tblProducts[Category],"Not Found")</f>
        <v>Assembly</v>
      </c>
      <c r="L17">
        <f>_xlfn.XLOOKUP(tblProduction[[#This Row],[Product]],tblProducts[Product],tblProducts[Target_Units],"Not Found")</f>
        <v>900</v>
      </c>
    </row>
    <row r="18" spans="1:12" x14ac:dyDescent="0.3">
      <c r="A18" s="1">
        <v>46024</v>
      </c>
      <c r="B18" t="s">
        <v>17</v>
      </c>
      <c r="C18" t="s">
        <v>12</v>
      </c>
      <c r="D18" t="s">
        <v>11</v>
      </c>
      <c r="E18">
        <v>715</v>
      </c>
      <c r="F18">
        <v>25</v>
      </c>
      <c r="G18">
        <v>47</v>
      </c>
      <c r="H18">
        <v>690</v>
      </c>
      <c r="I18">
        <v>3.4965034965034971</v>
      </c>
      <c r="J18">
        <v>96.503496503496507</v>
      </c>
      <c r="K18" t="str">
        <f>_xlfn.XLOOKUP(tblProduction[[#This Row],[Product]],tblProducts[Product],tblProducts[Category],"Not Found")</f>
        <v>Precision</v>
      </c>
      <c r="L18">
        <f>_xlfn.XLOOKUP(tblProduction[[#This Row],[Product]],tblProducts[Product],tblProducts[Target_Units],"Not Found")</f>
        <v>950</v>
      </c>
    </row>
    <row r="19" spans="1:12" x14ac:dyDescent="0.3">
      <c r="A19" s="1">
        <v>46024</v>
      </c>
      <c r="B19" t="s">
        <v>17</v>
      </c>
      <c r="C19" t="s">
        <v>13</v>
      </c>
      <c r="D19" t="s">
        <v>18</v>
      </c>
      <c r="E19">
        <v>616</v>
      </c>
      <c r="F19">
        <v>27</v>
      </c>
      <c r="G19">
        <v>82</v>
      </c>
      <c r="H19">
        <v>589</v>
      </c>
      <c r="I19">
        <v>4.383116883116883</v>
      </c>
      <c r="J19">
        <v>95.616883116883116</v>
      </c>
      <c r="K19" t="str">
        <f>_xlfn.XLOOKUP(tblProduction[[#This Row],[Product]],tblProducts[Product],tblProducts[Category],"Not Found")</f>
        <v>Assembly</v>
      </c>
      <c r="L19">
        <f>_xlfn.XLOOKUP(tblProduction[[#This Row],[Product]],tblProducts[Product],tblProducts[Target_Units],"Not Found")</f>
        <v>900</v>
      </c>
    </row>
    <row r="20" spans="1:12" x14ac:dyDescent="0.3">
      <c r="A20" s="1">
        <v>46025</v>
      </c>
      <c r="B20" t="s">
        <v>9</v>
      </c>
      <c r="C20" t="s">
        <v>10</v>
      </c>
      <c r="D20" t="s">
        <v>14</v>
      </c>
      <c r="E20">
        <v>853</v>
      </c>
      <c r="F20">
        <v>19</v>
      </c>
      <c r="G20">
        <v>43</v>
      </c>
      <c r="H20">
        <v>834</v>
      </c>
      <c r="I20">
        <v>2.2274325908558028</v>
      </c>
      <c r="J20">
        <v>97.772567409144202</v>
      </c>
      <c r="K20" t="str">
        <f>_xlfn.XLOOKUP(tblProduction[[#This Row],[Product]],tblProducts[Product],tblProducts[Category],"Not Found")</f>
        <v>Assembly</v>
      </c>
      <c r="L20">
        <f>_xlfn.XLOOKUP(tblProduction[[#This Row],[Product]],tblProducts[Product],tblProducts[Target_Units],"Not Found")</f>
        <v>850</v>
      </c>
    </row>
    <row r="21" spans="1:12" x14ac:dyDescent="0.3">
      <c r="A21" s="1">
        <v>46025</v>
      </c>
      <c r="B21" t="s">
        <v>9</v>
      </c>
      <c r="C21" t="s">
        <v>12</v>
      </c>
      <c r="D21" t="s">
        <v>18</v>
      </c>
      <c r="E21">
        <v>863</v>
      </c>
      <c r="F21">
        <v>12</v>
      </c>
      <c r="G21">
        <v>64</v>
      </c>
      <c r="H21">
        <v>851</v>
      </c>
      <c r="I21">
        <v>1.3904982618771731</v>
      </c>
      <c r="J21">
        <v>98.60950173812283</v>
      </c>
      <c r="K21" t="str">
        <f>_xlfn.XLOOKUP(tblProduction[[#This Row],[Product]],tblProducts[Product],tblProducts[Category],"Not Found")</f>
        <v>Assembly</v>
      </c>
      <c r="L21">
        <f>_xlfn.XLOOKUP(tblProduction[[#This Row],[Product]],tblProducts[Product],tblProducts[Target_Units],"Not Found")</f>
        <v>900</v>
      </c>
    </row>
    <row r="22" spans="1:12" x14ac:dyDescent="0.3">
      <c r="A22" s="1">
        <v>46025</v>
      </c>
      <c r="B22" t="s">
        <v>9</v>
      </c>
      <c r="C22" t="s">
        <v>13</v>
      </c>
      <c r="D22" t="s">
        <v>11</v>
      </c>
      <c r="E22">
        <v>920</v>
      </c>
      <c r="F22">
        <v>23</v>
      </c>
      <c r="G22">
        <v>3</v>
      </c>
      <c r="H22">
        <v>897</v>
      </c>
      <c r="I22">
        <v>2.5</v>
      </c>
      <c r="J22">
        <v>97.5</v>
      </c>
      <c r="K22" t="str">
        <f>_xlfn.XLOOKUP(tblProduction[[#This Row],[Product]],tblProducts[Product],tblProducts[Category],"Not Found")</f>
        <v>Precision</v>
      </c>
      <c r="L22">
        <f>_xlfn.XLOOKUP(tblProduction[[#This Row],[Product]],tblProducts[Product],tblProducts[Target_Units],"Not Found")</f>
        <v>950</v>
      </c>
    </row>
    <row r="23" spans="1:12" x14ac:dyDescent="0.3">
      <c r="A23" s="1">
        <v>46025</v>
      </c>
      <c r="B23" t="s">
        <v>15</v>
      </c>
      <c r="C23" t="s">
        <v>10</v>
      </c>
      <c r="D23" t="s">
        <v>11</v>
      </c>
      <c r="E23">
        <v>818</v>
      </c>
      <c r="F23">
        <v>20</v>
      </c>
      <c r="G23">
        <v>67</v>
      </c>
      <c r="H23">
        <v>798</v>
      </c>
      <c r="I23">
        <v>2.4449877750611249</v>
      </c>
      <c r="J23">
        <v>97.555012224938878</v>
      </c>
      <c r="K23" t="str">
        <f>_xlfn.XLOOKUP(tblProduction[[#This Row],[Product]],tblProducts[Product],tblProducts[Category],"Not Found")</f>
        <v>Precision</v>
      </c>
      <c r="L23">
        <f>_xlfn.XLOOKUP(tblProduction[[#This Row],[Product]],tblProducts[Product],tblProducts[Target_Units],"Not Found")</f>
        <v>950</v>
      </c>
    </row>
    <row r="24" spans="1:12" x14ac:dyDescent="0.3">
      <c r="A24" s="1">
        <v>46025</v>
      </c>
      <c r="B24" t="s">
        <v>15</v>
      </c>
      <c r="C24" t="s">
        <v>12</v>
      </c>
      <c r="D24" t="s">
        <v>14</v>
      </c>
      <c r="E24">
        <v>721</v>
      </c>
      <c r="F24">
        <v>23</v>
      </c>
      <c r="G24">
        <v>37</v>
      </c>
      <c r="H24">
        <v>698</v>
      </c>
      <c r="I24">
        <v>3.19001386962552</v>
      </c>
      <c r="J24">
        <v>96.809986130374483</v>
      </c>
      <c r="K24" t="str">
        <f>_xlfn.XLOOKUP(tblProduction[[#This Row],[Product]],tblProducts[Product],tblProducts[Category],"Not Found")</f>
        <v>Assembly</v>
      </c>
      <c r="L24">
        <f>_xlfn.XLOOKUP(tblProduction[[#This Row],[Product]],tblProducts[Product],tblProducts[Target_Units],"Not Found")</f>
        <v>850</v>
      </c>
    </row>
    <row r="25" spans="1:12" x14ac:dyDescent="0.3">
      <c r="A25" s="1">
        <v>46025</v>
      </c>
      <c r="B25" t="s">
        <v>15</v>
      </c>
      <c r="C25" t="s">
        <v>13</v>
      </c>
      <c r="D25" t="s">
        <v>16</v>
      </c>
      <c r="E25">
        <v>819</v>
      </c>
      <c r="F25">
        <v>28</v>
      </c>
      <c r="G25">
        <v>56</v>
      </c>
      <c r="H25">
        <v>791</v>
      </c>
      <c r="I25">
        <v>3.4188034188034191</v>
      </c>
      <c r="J25">
        <v>96.581196581196579</v>
      </c>
      <c r="K25" t="str">
        <f>_xlfn.XLOOKUP(tblProduction[[#This Row],[Product]],tblProducts[Product],tblProducts[Category],"Not Found")</f>
        <v>Standard</v>
      </c>
      <c r="L25">
        <f>_xlfn.XLOOKUP(tblProduction[[#This Row],[Product]],tblProducts[Product],tblProducts[Target_Units],"Not Found")</f>
        <v>1000</v>
      </c>
    </row>
    <row r="26" spans="1:12" x14ac:dyDescent="0.3">
      <c r="A26" s="1">
        <v>46025</v>
      </c>
      <c r="B26" t="s">
        <v>17</v>
      </c>
      <c r="C26" t="s">
        <v>10</v>
      </c>
      <c r="D26" t="s">
        <v>16</v>
      </c>
      <c r="E26">
        <v>854</v>
      </c>
      <c r="F26">
        <v>29</v>
      </c>
      <c r="G26">
        <v>40</v>
      </c>
      <c r="H26">
        <v>825</v>
      </c>
      <c r="I26">
        <v>3.3957845433255271</v>
      </c>
      <c r="J26">
        <v>96.604215456674467</v>
      </c>
      <c r="K26" t="str">
        <f>_xlfn.XLOOKUP(tblProduction[[#This Row],[Product]],tblProducts[Product],tblProducts[Category],"Not Found")</f>
        <v>Standard</v>
      </c>
      <c r="L26">
        <f>_xlfn.XLOOKUP(tblProduction[[#This Row],[Product]],tblProducts[Product],tblProducts[Target_Units],"Not Found")</f>
        <v>1000</v>
      </c>
    </row>
    <row r="27" spans="1:12" x14ac:dyDescent="0.3">
      <c r="A27" s="1">
        <v>46025</v>
      </c>
      <c r="B27" t="s">
        <v>17</v>
      </c>
      <c r="C27" t="s">
        <v>12</v>
      </c>
      <c r="D27" t="s">
        <v>11</v>
      </c>
      <c r="E27">
        <v>750</v>
      </c>
      <c r="F27">
        <v>26</v>
      </c>
      <c r="G27">
        <v>36</v>
      </c>
      <c r="H27">
        <v>724</v>
      </c>
      <c r="I27">
        <v>3.4666666666666659</v>
      </c>
      <c r="J27">
        <v>96.533333333333331</v>
      </c>
      <c r="K27" t="str">
        <f>_xlfn.XLOOKUP(tblProduction[[#This Row],[Product]],tblProducts[Product],tblProducts[Category],"Not Found")</f>
        <v>Precision</v>
      </c>
      <c r="L27">
        <f>_xlfn.XLOOKUP(tblProduction[[#This Row],[Product]],tblProducts[Product],tblProducts[Target_Units],"Not Found")</f>
        <v>950</v>
      </c>
    </row>
    <row r="28" spans="1:12" x14ac:dyDescent="0.3">
      <c r="A28" s="1">
        <v>46025</v>
      </c>
      <c r="B28" t="s">
        <v>17</v>
      </c>
      <c r="C28" t="s">
        <v>13</v>
      </c>
      <c r="D28" t="s">
        <v>11</v>
      </c>
      <c r="E28">
        <v>730</v>
      </c>
      <c r="F28">
        <v>32</v>
      </c>
      <c r="G28">
        <v>40</v>
      </c>
      <c r="H28">
        <v>698</v>
      </c>
      <c r="I28">
        <v>4.3835616438356162</v>
      </c>
      <c r="J28">
        <v>95.61643835616438</v>
      </c>
      <c r="K28" t="str">
        <f>_xlfn.XLOOKUP(tblProduction[[#This Row],[Product]],tblProducts[Product],tblProducts[Category],"Not Found")</f>
        <v>Precision</v>
      </c>
      <c r="L28">
        <f>_xlfn.XLOOKUP(tblProduction[[#This Row],[Product]],tblProducts[Product],tblProducts[Target_Units],"Not Found")</f>
        <v>950</v>
      </c>
    </row>
    <row r="29" spans="1:12" x14ac:dyDescent="0.3">
      <c r="A29" s="1">
        <v>46026</v>
      </c>
      <c r="B29" t="s">
        <v>9</v>
      </c>
      <c r="C29" t="s">
        <v>10</v>
      </c>
      <c r="D29" t="s">
        <v>16</v>
      </c>
      <c r="E29">
        <v>1070</v>
      </c>
      <c r="F29">
        <v>16</v>
      </c>
      <c r="G29">
        <v>29</v>
      </c>
      <c r="H29">
        <v>1054</v>
      </c>
      <c r="I29">
        <v>1.495327102803738</v>
      </c>
      <c r="J29">
        <v>98.504672897196272</v>
      </c>
      <c r="K29" t="str">
        <f>_xlfn.XLOOKUP(tblProduction[[#This Row],[Product]],tblProducts[Product],tblProducts[Category],"Not Found")</f>
        <v>Standard</v>
      </c>
      <c r="L29">
        <f>_xlfn.XLOOKUP(tblProduction[[#This Row],[Product]],tblProducts[Product],tblProducts[Target_Units],"Not Found")</f>
        <v>1000</v>
      </c>
    </row>
    <row r="30" spans="1:12" x14ac:dyDescent="0.3">
      <c r="A30" s="1">
        <v>46026</v>
      </c>
      <c r="B30" t="s">
        <v>9</v>
      </c>
      <c r="C30" t="s">
        <v>12</v>
      </c>
      <c r="D30" t="s">
        <v>16</v>
      </c>
      <c r="E30">
        <v>1018</v>
      </c>
      <c r="F30">
        <v>15</v>
      </c>
      <c r="G30">
        <v>29</v>
      </c>
      <c r="H30">
        <v>1003</v>
      </c>
      <c r="I30">
        <v>1.473477406679764</v>
      </c>
      <c r="J30">
        <v>98.526522593320237</v>
      </c>
      <c r="K30" t="str">
        <f>_xlfn.XLOOKUP(tblProduction[[#This Row],[Product]],tblProducts[Product],tblProducts[Category],"Not Found")</f>
        <v>Standard</v>
      </c>
      <c r="L30">
        <f>_xlfn.XLOOKUP(tblProduction[[#This Row],[Product]],tblProducts[Product],tblProducts[Target_Units],"Not Found")</f>
        <v>1000</v>
      </c>
    </row>
    <row r="31" spans="1:12" x14ac:dyDescent="0.3">
      <c r="A31" s="1">
        <v>46026</v>
      </c>
      <c r="B31" t="s">
        <v>9</v>
      </c>
      <c r="C31" t="s">
        <v>13</v>
      </c>
      <c r="D31" t="s">
        <v>14</v>
      </c>
      <c r="E31">
        <v>797</v>
      </c>
      <c r="F31">
        <v>26</v>
      </c>
      <c r="G31">
        <v>42</v>
      </c>
      <c r="H31">
        <v>771</v>
      </c>
      <c r="I31">
        <v>3.2622333751568382</v>
      </c>
      <c r="J31">
        <v>96.737766624843161</v>
      </c>
      <c r="K31" t="str">
        <f>_xlfn.XLOOKUP(tblProduction[[#This Row],[Product]],tblProducts[Product],tblProducts[Category],"Not Found")</f>
        <v>Assembly</v>
      </c>
      <c r="L31">
        <f>_xlfn.XLOOKUP(tblProduction[[#This Row],[Product]],tblProducts[Product],tblProducts[Target_Units],"Not Found")</f>
        <v>850</v>
      </c>
    </row>
    <row r="32" spans="1:12" x14ac:dyDescent="0.3">
      <c r="A32" s="1">
        <v>46026</v>
      </c>
      <c r="B32" t="s">
        <v>15</v>
      </c>
      <c r="C32" t="s">
        <v>10</v>
      </c>
      <c r="D32" t="s">
        <v>18</v>
      </c>
      <c r="E32">
        <v>883</v>
      </c>
      <c r="F32">
        <v>22</v>
      </c>
      <c r="G32">
        <v>4</v>
      </c>
      <c r="H32">
        <v>861</v>
      </c>
      <c r="I32">
        <v>2.491506228765572</v>
      </c>
      <c r="J32">
        <v>97.508493771234427</v>
      </c>
      <c r="K32" t="str">
        <f>_xlfn.XLOOKUP(tblProduction[[#This Row],[Product]],tblProducts[Product],tblProducts[Category],"Not Found")</f>
        <v>Assembly</v>
      </c>
      <c r="L32">
        <f>_xlfn.XLOOKUP(tblProduction[[#This Row],[Product]],tblProducts[Product],tblProducts[Target_Units],"Not Found")</f>
        <v>900</v>
      </c>
    </row>
    <row r="33" spans="1:12" x14ac:dyDescent="0.3">
      <c r="A33" s="1">
        <v>46026</v>
      </c>
      <c r="B33" t="s">
        <v>15</v>
      </c>
      <c r="C33" t="s">
        <v>12</v>
      </c>
      <c r="D33" t="s">
        <v>11</v>
      </c>
      <c r="E33">
        <v>757</v>
      </c>
      <c r="F33">
        <v>18</v>
      </c>
      <c r="G33">
        <v>82</v>
      </c>
      <c r="H33">
        <v>739</v>
      </c>
      <c r="I33">
        <v>2.3778071334213999</v>
      </c>
      <c r="J33">
        <v>97.622192866578601</v>
      </c>
      <c r="K33" t="str">
        <f>_xlfn.XLOOKUP(tblProduction[[#This Row],[Product]],tblProducts[Product],tblProducts[Category],"Not Found")</f>
        <v>Precision</v>
      </c>
      <c r="L33">
        <f>_xlfn.XLOOKUP(tblProduction[[#This Row],[Product]],tblProducts[Product],tblProducts[Target_Units],"Not Found")</f>
        <v>950</v>
      </c>
    </row>
    <row r="34" spans="1:12" x14ac:dyDescent="0.3">
      <c r="A34" s="1">
        <v>46026</v>
      </c>
      <c r="B34" t="s">
        <v>15</v>
      </c>
      <c r="C34" t="s">
        <v>13</v>
      </c>
      <c r="D34" t="s">
        <v>18</v>
      </c>
      <c r="E34">
        <v>792</v>
      </c>
      <c r="F34">
        <v>27</v>
      </c>
      <c r="G34">
        <v>5</v>
      </c>
      <c r="H34">
        <v>765</v>
      </c>
      <c r="I34">
        <v>3.4090909090909092</v>
      </c>
      <c r="J34">
        <v>96.590909090909093</v>
      </c>
      <c r="K34" t="str">
        <f>_xlfn.XLOOKUP(tblProduction[[#This Row],[Product]],tblProducts[Product],tblProducts[Category],"Not Found")</f>
        <v>Assembly</v>
      </c>
      <c r="L34">
        <f>_xlfn.XLOOKUP(tblProduction[[#This Row],[Product]],tblProducts[Product],tblProducts[Target_Units],"Not Found")</f>
        <v>900</v>
      </c>
    </row>
    <row r="35" spans="1:12" x14ac:dyDescent="0.3">
      <c r="A35" s="1">
        <v>46026</v>
      </c>
      <c r="B35" t="s">
        <v>17</v>
      </c>
      <c r="C35" t="s">
        <v>10</v>
      </c>
      <c r="D35" t="s">
        <v>14</v>
      </c>
      <c r="E35">
        <v>631</v>
      </c>
      <c r="F35">
        <v>27</v>
      </c>
      <c r="G35">
        <v>90</v>
      </c>
      <c r="H35">
        <v>604</v>
      </c>
      <c r="I35">
        <v>4.2789223454833598</v>
      </c>
      <c r="J35">
        <v>95.721077654516634</v>
      </c>
      <c r="K35" t="str">
        <f>_xlfn.XLOOKUP(tblProduction[[#This Row],[Product]],tblProducts[Product],tblProducts[Category],"Not Found")</f>
        <v>Assembly</v>
      </c>
      <c r="L35">
        <f>_xlfn.XLOOKUP(tblProduction[[#This Row],[Product]],tblProducts[Product],tblProducts[Target_Units],"Not Found")</f>
        <v>850</v>
      </c>
    </row>
    <row r="36" spans="1:12" x14ac:dyDescent="0.3">
      <c r="A36" s="1">
        <v>46026</v>
      </c>
      <c r="B36" t="s">
        <v>17</v>
      </c>
      <c r="C36" t="s">
        <v>12</v>
      </c>
      <c r="D36" t="s">
        <v>11</v>
      </c>
      <c r="E36">
        <v>723</v>
      </c>
      <c r="F36">
        <v>25</v>
      </c>
      <c r="G36">
        <v>81</v>
      </c>
      <c r="H36">
        <v>698</v>
      </c>
      <c r="I36">
        <v>3.4578146611341629</v>
      </c>
      <c r="J36">
        <v>96.542185338865835</v>
      </c>
      <c r="K36" t="str">
        <f>_xlfn.XLOOKUP(tblProduction[[#This Row],[Product]],tblProducts[Product],tblProducts[Category],"Not Found")</f>
        <v>Precision</v>
      </c>
      <c r="L36">
        <f>_xlfn.XLOOKUP(tblProduction[[#This Row],[Product]],tblProducts[Product],tblProducts[Target_Units],"Not Found")</f>
        <v>950</v>
      </c>
    </row>
    <row r="37" spans="1:12" x14ac:dyDescent="0.3">
      <c r="A37" s="1">
        <v>46026</v>
      </c>
      <c r="B37" t="s">
        <v>17</v>
      </c>
      <c r="C37" t="s">
        <v>13</v>
      </c>
      <c r="D37" t="s">
        <v>18</v>
      </c>
      <c r="E37">
        <v>668</v>
      </c>
      <c r="F37">
        <v>30</v>
      </c>
      <c r="G37">
        <v>24</v>
      </c>
      <c r="H37">
        <v>638</v>
      </c>
      <c r="I37">
        <v>4.4910179640718564</v>
      </c>
      <c r="J37">
        <v>95.508982035928142</v>
      </c>
      <c r="K37" t="str">
        <f>_xlfn.XLOOKUP(tblProduction[[#This Row],[Product]],tblProducts[Product],tblProducts[Category],"Not Found")</f>
        <v>Assembly</v>
      </c>
      <c r="L37">
        <f>_xlfn.XLOOKUP(tblProduction[[#This Row],[Product]],tblProducts[Product],tblProducts[Target_Units],"Not Found")</f>
        <v>900</v>
      </c>
    </row>
    <row r="38" spans="1:12" x14ac:dyDescent="0.3">
      <c r="A38" s="1">
        <v>46027</v>
      </c>
      <c r="B38" t="s">
        <v>9</v>
      </c>
      <c r="C38" t="s">
        <v>10</v>
      </c>
      <c r="D38" t="s">
        <v>18</v>
      </c>
      <c r="E38">
        <v>989</v>
      </c>
      <c r="F38">
        <v>14</v>
      </c>
      <c r="G38">
        <v>2</v>
      </c>
      <c r="H38">
        <v>975</v>
      </c>
      <c r="I38">
        <v>1.4155712841253789</v>
      </c>
      <c r="J38">
        <v>98.584428715874623</v>
      </c>
      <c r="K38" t="str">
        <f>_xlfn.XLOOKUP(tblProduction[[#This Row],[Product]],tblProducts[Product],tblProducts[Category],"Not Found")</f>
        <v>Assembly</v>
      </c>
      <c r="L38">
        <f>_xlfn.XLOOKUP(tblProduction[[#This Row],[Product]],tblProducts[Product],tblProducts[Target_Units],"Not Found")</f>
        <v>900</v>
      </c>
    </row>
    <row r="39" spans="1:12" x14ac:dyDescent="0.3">
      <c r="A39" s="1">
        <v>46027</v>
      </c>
      <c r="B39" t="s">
        <v>9</v>
      </c>
      <c r="C39" t="s">
        <v>12</v>
      </c>
      <c r="D39" t="s">
        <v>16</v>
      </c>
      <c r="E39">
        <v>1032</v>
      </c>
      <c r="F39">
        <v>15</v>
      </c>
      <c r="G39">
        <v>14</v>
      </c>
      <c r="H39">
        <v>1017</v>
      </c>
      <c r="I39">
        <v>1.453488372093023</v>
      </c>
      <c r="J39">
        <v>98.54651162790698</v>
      </c>
      <c r="K39" t="str">
        <f>_xlfn.XLOOKUP(tblProduction[[#This Row],[Product]],tblProducts[Product],tblProducts[Category],"Not Found")</f>
        <v>Standard</v>
      </c>
      <c r="L39">
        <f>_xlfn.XLOOKUP(tblProduction[[#This Row],[Product]],tblProducts[Product],tblProducts[Target_Units],"Not Found")</f>
        <v>1000</v>
      </c>
    </row>
    <row r="40" spans="1:12" x14ac:dyDescent="0.3">
      <c r="A40" s="1">
        <v>46027</v>
      </c>
      <c r="B40" t="s">
        <v>9</v>
      </c>
      <c r="C40" t="s">
        <v>13</v>
      </c>
      <c r="D40" t="s">
        <v>11</v>
      </c>
      <c r="E40">
        <v>805</v>
      </c>
      <c r="F40">
        <v>20</v>
      </c>
      <c r="G40">
        <v>60</v>
      </c>
      <c r="H40">
        <v>785</v>
      </c>
      <c r="I40">
        <v>2.4844720496894408</v>
      </c>
      <c r="J40">
        <v>97.515527950310556</v>
      </c>
      <c r="K40" t="str">
        <f>_xlfn.XLOOKUP(tblProduction[[#This Row],[Product]],tblProducts[Product],tblProducts[Category],"Not Found")</f>
        <v>Precision</v>
      </c>
      <c r="L40">
        <f>_xlfn.XLOOKUP(tblProduction[[#This Row],[Product]],tblProducts[Product],tblProducts[Target_Units],"Not Found")</f>
        <v>950</v>
      </c>
    </row>
    <row r="41" spans="1:12" x14ac:dyDescent="0.3">
      <c r="A41" s="1">
        <v>46027</v>
      </c>
      <c r="B41" t="s">
        <v>15</v>
      </c>
      <c r="C41" t="s">
        <v>10</v>
      </c>
      <c r="D41" t="s">
        <v>11</v>
      </c>
      <c r="E41">
        <v>899</v>
      </c>
      <c r="F41">
        <v>22</v>
      </c>
      <c r="G41">
        <v>48</v>
      </c>
      <c r="H41">
        <v>877</v>
      </c>
      <c r="I41">
        <v>2.4471635150166851</v>
      </c>
      <c r="J41">
        <v>97.552836484983317</v>
      </c>
      <c r="K41" t="str">
        <f>_xlfn.XLOOKUP(tblProduction[[#This Row],[Product]],tblProducts[Product],tblProducts[Category],"Not Found")</f>
        <v>Precision</v>
      </c>
      <c r="L41">
        <f>_xlfn.XLOOKUP(tblProduction[[#This Row],[Product]],tblProducts[Product],tblProducts[Target_Units],"Not Found")</f>
        <v>950</v>
      </c>
    </row>
    <row r="42" spans="1:12" x14ac:dyDescent="0.3">
      <c r="A42" s="1">
        <v>46027</v>
      </c>
      <c r="B42" t="s">
        <v>15</v>
      </c>
      <c r="C42" t="s">
        <v>12</v>
      </c>
      <c r="D42" t="s">
        <v>18</v>
      </c>
      <c r="E42">
        <v>857</v>
      </c>
      <c r="F42">
        <v>21</v>
      </c>
      <c r="G42">
        <v>18</v>
      </c>
      <c r="H42">
        <v>836</v>
      </c>
      <c r="I42">
        <v>2.450408401400233</v>
      </c>
      <c r="J42">
        <v>97.549591598599775</v>
      </c>
      <c r="K42" t="str">
        <f>_xlfn.XLOOKUP(tblProduction[[#This Row],[Product]],tblProducts[Product],tblProducts[Category],"Not Found")</f>
        <v>Assembly</v>
      </c>
      <c r="L42">
        <f>_xlfn.XLOOKUP(tblProduction[[#This Row],[Product]],tblProducts[Product],tblProducts[Target_Units],"Not Found")</f>
        <v>900</v>
      </c>
    </row>
    <row r="43" spans="1:12" x14ac:dyDescent="0.3">
      <c r="A43" s="1">
        <v>46027</v>
      </c>
      <c r="B43" t="s">
        <v>15</v>
      </c>
      <c r="C43" t="s">
        <v>13</v>
      </c>
      <c r="D43" t="s">
        <v>14</v>
      </c>
      <c r="E43">
        <v>659</v>
      </c>
      <c r="F43">
        <v>28</v>
      </c>
      <c r="G43">
        <v>85</v>
      </c>
      <c r="H43">
        <v>631</v>
      </c>
      <c r="I43">
        <v>4.2488619119878601</v>
      </c>
      <c r="J43">
        <v>95.751138088012141</v>
      </c>
      <c r="K43" t="str">
        <f>_xlfn.XLOOKUP(tblProduction[[#This Row],[Product]],tblProducts[Product],tblProducts[Category],"Not Found")</f>
        <v>Assembly</v>
      </c>
      <c r="L43">
        <f>_xlfn.XLOOKUP(tblProduction[[#This Row],[Product]],tblProducts[Product],tblProducts[Target_Units],"Not Found")</f>
        <v>850</v>
      </c>
    </row>
    <row r="44" spans="1:12" x14ac:dyDescent="0.3">
      <c r="A44" s="1">
        <v>46027</v>
      </c>
      <c r="B44" t="s">
        <v>17</v>
      </c>
      <c r="C44" t="s">
        <v>10</v>
      </c>
      <c r="D44" t="s">
        <v>11</v>
      </c>
      <c r="E44">
        <v>831</v>
      </c>
      <c r="F44">
        <v>29</v>
      </c>
      <c r="G44">
        <v>38</v>
      </c>
      <c r="H44">
        <v>802</v>
      </c>
      <c r="I44">
        <v>3.4897713598074609</v>
      </c>
      <c r="J44">
        <v>96.510228640192537</v>
      </c>
      <c r="K44" t="str">
        <f>_xlfn.XLOOKUP(tblProduction[[#This Row],[Product]],tblProducts[Product],tblProducts[Category],"Not Found")</f>
        <v>Precision</v>
      </c>
      <c r="L44">
        <f>_xlfn.XLOOKUP(tblProduction[[#This Row],[Product]],tblProducts[Product],tblProducts[Target_Units],"Not Found")</f>
        <v>950</v>
      </c>
    </row>
    <row r="45" spans="1:12" x14ac:dyDescent="0.3">
      <c r="A45" s="1">
        <v>46027</v>
      </c>
      <c r="B45" t="s">
        <v>17</v>
      </c>
      <c r="C45" t="s">
        <v>12</v>
      </c>
      <c r="D45" t="s">
        <v>14</v>
      </c>
      <c r="E45">
        <v>679</v>
      </c>
      <c r="F45">
        <v>29</v>
      </c>
      <c r="G45">
        <v>37</v>
      </c>
      <c r="H45">
        <v>650</v>
      </c>
      <c r="I45">
        <v>4.2709867452135493</v>
      </c>
      <c r="J45">
        <v>95.729013254786452</v>
      </c>
      <c r="K45" t="str">
        <f>_xlfn.XLOOKUP(tblProduction[[#This Row],[Product]],tblProducts[Product],tblProducts[Category],"Not Found")</f>
        <v>Assembly</v>
      </c>
      <c r="L45">
        <f>_xlfn.XLOOKUP(tblProduction[[#This Row],[Product]],tblProducts[Product],tblProducts[Target_Units],"Not Found")</f>
        <v>850</v>
      </c>
    </row>
    <row r="46" spans="1:12" x14ac:dyDescent="0.3">
      <c r="A46" s="1">
        <v>46027</v>
      </c>
      <c r="B46" t="s">
        <v>17</v>
      </c>
      <c r="C46" t="s">
        <v>13</v>
      </c>
      <c r="D46" t="s">
        <v>14</v>
      </c>
      <c r="E46">
        <v>603</v>
      </c>
      <c r="F46">
        <v>31</v>
      </c>
      <c r="G46">
        <v>63</v>
      </c>
      <c r="H46">
        <v>572</v>
      </c>
      <c r="I46">
        <v>5.140961857379768</v>
      </c>
      <c r="J46">
        <v>94.859038142620236</v>
      </c>
      <c r="K46" t="str">
        <f>_xlfn.XLOOKUP(tblProduction[[#This Row],[Product]],tblProducts[Product],tblProducts[Category],"Not Found")</f>
        <v>Assembly</v>
      </c>
      <c r="L46">
        <f>_xlfn.XLOOKUP(tblProduction[[#This Row],[Product]],tblProducts[Product],tblProducts[Target_Units],"Not Found")</f>
        <v>850</v>
      </c>
    </row>
    <row r="47" spans="1:12" x14ac:dyDescent="0.3">
      <c r="A47" s="1">
        <v>46028</v>
      </c>
      <c r="B47" t="s">
        <v>9</v>
      </c>
      <c r="C47" t="s">
        <v>10</v>
      </c>
      <c r="D47" t="s">
        <v>11</v>
      </c>
      <c r="E47">
        <v>863</v>
      </c>
      <c r="F47">
        <v>12</v>
      </c>
      <c r="G47">
        <v>80</v>
      </c>
      <c r="H47">
        <v>851</v>
      </c>
      <c r="I47">
        <v>1.3904982618771731</v>
      </c>
      <c r="J47">
        <v>98.60950173812283</v>
      </c>
      <c r="K47" t="str">
        <f>_xlfn.XLOOKUP(tblProduction[[#This Row],[Product]],tblProducts[Product],tblProducts[Category],"Not Found")</f>
        <v>Precision</v>
      </c>
      <c r="L47">
        <f>_xlfn.XLOOKUP(tblProduction[[#This Row],[Product]],tblProducts[Product],tblProducts[Target_Units],"Not Found")</f>
        <v>950</v>
      </c>
    </row>
    <row r="48" spans="1:12" x14ac:dyDescent="0.3">
      <c r="A48" s="1">
        <v>46028</v>
      </c>
      <c r="B48" t="s">
        <v>9</v>
      </c>
      <c r="C48" t="s">
        <v>12</v>
      </c>
      <c r="D48" t="s">
        <v>11</v>
      </c>
      <c r="E48">
        <v>857</v>
      </c>
      <c r="F48">
        <v>12</v>
      </c>
      <c r="G48">
        <v>60</v>
      </c>
      <c r="H48">
        <v>845</v>
      </c>
      <c r="I48">
        <v>1.400233372228705</v>
      </c>
      <c r="J48">
        <v>98.599766627771288</v>
      </c>
      <c r="K48" t="str">
        <f>_xlfn.XLOOKUP(tblProduction[[#This Row],[Product]],tblProducts[Product],tblProducts[Category],"Not Found")</f>
        <v>Precision</v>
      </c>
      <c r="L48">
        <f>_xlfn.XLOOKUP(tblProduction[[#This Row],[Product]],tblProducts[Product],tblProducts[Target_Units],"Not Found")</f>
        <v>950</v>
      </c>
    </row>
    <row r="49" spans="1:12" x14ac:dyDescent="0.3">
      <c r="A49" s="1">
        <v>46028</v>
      </c>
      <c r="B49" t="s">
        <v>9</v>
      </c>
      <c r="C49" t="s">
        <v>13</v>
      </c>
      <c r="D49" t="s">
        <v>16</v>
      </c>
      <c r="E49">
        <v>840</v>
      </c>
      <c r="F49">
        <v>21</v>
      </c>
      <c r="G49">
        <v>75</v>
      </c>
      <c r="H49">
        <v>819</v>
      </c>
      <c r="I49">
        <v>2.5</v>
      </c>
      <c r="J49">
        <v>97.5</v>
      </c>
      <c r="K49" t="str">
        <f>_xlfn.XLOOKUP(tblProduction[[#This Row],[Product]],tblProducts[Product],tblProducts[Category],"Not Found")</f>
        <v>Standard</v>
      </c>
      <c r="L49">
        <f>_xlfn.XLOOKUP(tblProduction[[#This Row],[Product]],tblProducts[Product],tblProducts[Target_Units],"Not Found")</f>
        <v>1000</v>
      </c>
    </row>
    <row r="50" spans="1:12" x14ac:dyDescent="0.3">
      <c r="A50" s="1">
        <v>46028</v>
      </c>
      <c r="B50" t="s">
        <v>15</v>
      </c>
      <c r="C50" t="s">
        <v>10</v>
      </c>
      <c r="D50" t="s">
        <v>14</v>
      </c>
      <c r="E50">
        <v>838</v>
      </c>
      <c r="F50">
        <v>27</v>
      </c>
      <c r="G50">
        <v>14</v>
      </c>
      <c r="H50">
        <v>811</v>
      </c>
      <c r="I50">
        <v>3.2219570405727929</v>
      </c>
      <c r="J50">
        <v>96.778042959427211</v>
      </c>
      <c r="K50" t="str">
        <f>_xlfn.XLOOKUP(tblProduction[[#This Row],[Product]],tblProducts[Product],tblProducts[Category],"Not Found")</f>
        <v>Assembly</v>
      </c>
      <c r="L50">
        <f>_xlfn.XLOOKUP(tblProduction[[#This Row],[Product]],tblProducts[Product],tblProducts[Target_Units],"Not Found")</f>
        <v>850</v>
      </c>
    </row>
    <row r="51" spans="1:12" x14ac:dyDescent="0.3">
      <c r="A51" s="1">
        <v>46028</v>
      </c>
      <c r="B51" t="s">
        <v>15</v>
      </c>
      <c r="C51" t="s">
        <v>12</v>
      </c>
      <c r="D51" t="s">
        <v>11</v>
      </c>
      <c r="E51">
        <v>830</v>
      </c>
      <c r="F51">
        <v>20</v>
      </c>
      <c r="G51">
        <v>32</v>
      </c>
      <c r="H51">
        <v>810</v>
      </c>
      <c r="I51">
        <v>2.4096385542168681</v>
      </c>
      <c r="J51">
        <v>97.590361445783131</v>
      </c>
      <c r="K51" t="str">
        <f>_xlfn.XLOOKUP(tblProduction[[#This Row],[Product]],tblProducts[Product],tblProducts[Category],"Not Found")</f>
        <v>Precision</v>
      </c>
      <c r="L51">
        <f>_xlfn.XLOOKUP(tblProduction[[#This Row],[Product]],tblProducts[Product],tblProducts[Target_Units],"Not Found")</f>
        <v>950</v>
      </c>
    </row>
    <row r="52" spans="1:12" x14ac:dyDescent="0.3">
      <c r="A52" s="1">
        <v>46028</v>
      </c>
      <c r="B52" t="s">
        <v>15</v>
      </c>
      <c r="C52" t="s">
        <v>13</v>
      </c>
      <c r="D52" t="s">
        <v>11</v>
      </c>
      <c r="E52">
        <v>826</v>
      </c>
      <c r="F52">
        <v>28</v>
      </c>
      <c r="G52">
        <v>9</v>
      </c>
      <c r="H52">
        <v>798</v>
      </c>
      <c r="I52">
        <v>3.3898305084745761</v>
      </c>
      <c r="J52">
        <v>96.610169491525426</v>
      </c>
      <c r="K52" t="str">
        <f>_xlfn.XLOOKUP(tblProduction[[#This Row],[Product]],tblProducts[Product],tblProducts[Category],"Not Found")</f>
        <v>Precision</v>
      </c>
      <c r="L52">
        <f>_xlfn.XLOOKUP(tblProduction[[#This Row],[Product]],tblProducts[Product],tblProducts[Target_Units],"Not Found")</f>
        <v>950</v>
      </c>
    </row>
    <row r="53" spans="1:12" x14ac:dyDescent="0.3">
      <c r="A53" s="1">
        <v>46028</v>
      </c>
      <c r="B53" t="s">
        <v>17</v>
      </c>
      <c r="C53" t="s">
        <v>10</v>
      </c>
      <c r="D53" t="s">
        <v>18</v>
      </c>
      <c r="E53">
        <v>766</v>
      </c>
      <c r="F53">
        <v>26</v>
      </c>
      <c r="G53">
        <v>25</v>
      </c>
      <c r="H53">
        <v>740</v>
      </c>
      <c r="I53">
        <v>3.3942558746736302</v>
      </c>
      <c r="J53">
        <v>96.605744125326382</v>
      </c>
      <c r="K53" t="str">
        <f>_xlfn.XLOOKUP(tblProduction[[#This Row],[Product]],tblProducts[Product],tblProducts[Category],"Not Found")</f>
        <v>Assembly</v>
      </c>
      <c r="L53">
        <f>_xlfn.XLOOKUP(tblProduction[[#This Row],[Product]],tblProducts[Product],tblProducts[Target_Units],"Not Found")</f>
        <v>900</v>
      </c>
    </row>
    <row r="54" spans="1:12" x14ac:dyDescent="0.3">
      <c r="A54" s="1">
        <v>46028</v>
      </c>
      <c r="B54" t="s">
        <v>17</v>
      </c>
      <c r="C54" t="s">
        <v>12</v>
      </c>
      <c r="D54" t="s">
        <v>11</v>
      </c>
      <c r="E54">
        <v>724</v>
      </c>
      <c r="F54">
        <v>25</v>
      </c>
      <c r="G54">
        <v>53</v>
      </c>
      <c r="H54">
        <v>699</v>
      </c>
      <c r="I54">
        <v>3.45303867403315</v>
      </c>
      <c r="J54">
        <v>96.546961325966848</v>
      </c>
      <c r="K54" t="str">
        <f>_xlfn.XLOOKUP(tblProduction[[#This Row],[Product]],tblProducts[Product],tblProducts[Category],"Not Found")</f>
        <v>Precision</v>
      </c>
      <c r="L54">
        <f>_xlfn.XLOOKUP(tblProduction[[#This Row],[Product]],tblProducts[Product],tblProducts[Target_Units],"Not Found")</f>
        <v>950</v>
      </c>
    </row>
    <row r="55" spans="1:12" x14ac:dyDescent="0.3">
      <c r="A55" s="1">
        <v>46028</v>
      </c>
      <c r="B55" t="s">
        <v>17</v>
      </c>
      <c r="C55" t="s">
        <v>13</v>
      </c>
      <c r="D55" t="s">
        <v>18</v>
      </c>
      <c r="E55">
        <v>612</v>
      </c>
      <c r="F55">
        <v>27</v>
      </c>
      <c r="G55">
        <v>63</v>
      </c>
      <c r="H55">
        <v>585</v>
      </c>
      <c r="I55">
        <v>4.4117647058823533</v>
      </c>
      <c r="J55">
        <v>95.588235294117652</v>
      </c>
      <c r="K55" t="str">
        <f>_xlfn.XLOOKUP(tblProduction[[#This Row],[Product]],tblProducts[Product],tblProducts[Category],"Not Found")</f>
        <v>Assembly</v>
      </c>
      <c r="L55">
        <f>_xlfn.XLOOKUP(tblProduction[[#This Row],[Product]],tblProducts[Product],tblProducts[Target_Units],"Not Found")</f>
        <v>900</v>
      </c>
    </row>
    <row r="56" spans="1:12" x14ac:dyDescent="0.3">
      <c r="A56" s="1">
        <v>46029</v>
      </c>
      <c r="B56" t="s">
        <v>9</v>
      </c>
      <c r="C56" t="s">
        <v>10</v>
      </c>
      <c r="D56" t="s">
        <v>11</v>
      </c>
      <c r="E56">
        <v>930</v>
      </c>
      <c r="F56">
        <v>13</v>
      </c>
      <c r="G56">
        <v>68</v>
      </c>
      <c r="H56">
        <v>917</v>
      </c>
      <c r="I56">
        <v>1.397849462365591</v>
      </c>
      <c r="J56">
        <v>98.602150537634401</v>
      </c>
      <c r="K56" t="str">
        <f>_xlfn.XLOOKUP(tblProduction[[#This Row],[Product]],tblProducts[Product],tblProducts[Category],"Not Found")</f>
        <v>Precision</v>
      </c>
      <c r="L56">
        <f>_xlfn.XLOOKUP(tblProduction[[#This Row],[Product]],tblProducts[Product],tblProducts[Target_Units],"Not Found")</f>
        <v>950</v>
      </c>
    </row>
    <row r="57" spans="1:12" x14ac:dyDescent="0.3">
      <c r="A57" s="1">
        <v>46029</v>
      </c>
      <c r="B57" t="s">
        <v>9</v>
      </c>
      <c r="C57" t="s">
        <v>12</v>
      </c>
      <c r="D57" t="s">
        <v>16</v>
      </c>
      <c r="E57">
        <v>948</v>
      </c>
      <c r="F57">
        <v>14</v>
      </c>
      <c r="G57">
        <v>55</v>
      </c>
      <c r="H57">
        <v>934</v>
      </c>
      <c r="I57">
        <v>1.4767932489451481</v>
      </c>
      <c r="J57">
        <v>98.523206751054843</v>
      </c>
      <c r="K57" t="str">
        <f>_xlfn.XLOOKUP(tblProduction[[#This Row],[Product]],tblProducts[Product],tblProducts[Category],"Not Found")</f>
        <v>Standard</v>
      </c>
      <c r="L57">
        <f>_xlfn.XLOOKUP(tblProduction[[#This Row],[Product]],tblProducts[Product],tblProducts[Target_Units],"Not Found")</f>
        <v>1000</v>
      </c>
    </row>
    <row r="58" spans="1:12" x14ac:dyDescent="0.3">
      <c r="A58" s="1">
        <v>46029</v>
      </c>
      <c r="B58" t="s">
        <v>9</v>
      </c>
      <c r="C58" t="s">
        <v>13</v>
      </c>
      <c r="D58" t="s">
        <v>11</v>
      </c>
      <c r="E58">
        <v>765</v>
      </c>
      <c r="F58">
        <v>19</v>
      </c>
      <c r="G58">
        <v>87</v>
      </c>
      <c r="H58">
        <v>746</v>
      </c>
      <c r="I58">
        <v>2.4836601307189539</v>
      </c>
      <c r="J58">
        <v>97.51633986928104</v>
      </c>
      <c r="K58" t="str">
        <f>_xlfn.XLOOKUP(tblProduction[[#This Row],[Product]],tblProducts[Product],tblProducts[Category],"Not Found")</f>
        <v>Precision</v>
      </c>
      <c r="L58">
        <f>_xlfn.XLOOKUP(tblProduction[[#This Row],[Product]],tblProducts[Product],tblProducts[Target_Units],"Not Found")</f>
        <v>950</v>
      </c>
    </row>
    <row r="59" spans="1:12" x14ac:dyDescent="0.3">
      <c r="A59" s="1">
        <v>46029</v>
      </c>
      <c r="B59" t="s">
        <v>15</v>
      </c>
      <c r="C59" t="s">
        <v>10</v>
      </c>
      <c r="D59" t="s">
        <v>11</v>
      </c>
      <c r="E59">
        <v>792</v>
      </c>
      <c r="F59">
        <v>19</v>
      </c>
      <c r="G59">
        <v>78</v>
      </c>
      <c r="H59">
        <v>773</v>
      </c>
      <c r="I59">
        <v>2.3989898989898988</v>
      </c>
      <c r="J59">
        <v>97.601010101010104</v>
      </c>
      <c r="K59" t="str">
        <f>_xlfn.XLOOKUP(tblProduction[[#This Row],[Product]],tblProducts[Product],tblProducts[Category],"Not Found")</f>
        <v>Precision</v>
      </c>
      <c r="L59">
        <f>_xlfn.XLOOKUP(tblProduction[[#This Row],[Product]],tblProducts[Product],tblProducts[Target_Units],"Not Found")</f>
        <v>950</v>
      </c>
    </row>
    <row r="60" spans="1:12" x14ac:dyDescent="0.3">
      <c r="A60" s="1">
        <v>46029</v>
      </c>
      <c r="B60" t="s">
        <v>15</v>
      </c>
      <c r="C60" t="s">
        <v>12</v>
      </c>
      <c r="D60" t="s">
        <v>18</v>
      </c>
      <c r="E60">
        <v>736</v>
      </c>
      <c r="F60">
        <v>18</v>
      </c>
      <c r="G60">
        <v>84</v>
      </c>
      <c r="H60">
        <v>718</v>
      </c>
      <c r="I60">
        <v>2.445652173913043</v>
      </c>
      <c r="J60">
        <v>97.554347826086953</v>
      </c>
      <c r="K60" t="str">
        <f>_xlfn.XLOOKUP(tblProduction[[#This Row],[Product]],tblProducts[Product],tblProducts[Category],"Not Found")</f>
        <v>Assembly</v>
      </c>
      <c r="L60">
        <f>_xlfn.XLOOKUP(tblProduction[[#This Row],[Product]],tblProducts[Product],tblProducts[Target_Units],"Not Found")</f>
        <v>900</v>
      </c>
    </row>
    <row r="61" spans="1:12" x14ac:dyDescent="0.3">
      <c r="A61" s="1">
        <v>46029</v>
      </c>
      <c r="B61" t="s">
        <v>15</v>
      </c>
      <c r="C61" t="s">
        <v>13</v>
      </c>
      <c r="D61" t="s">
        <v>11</v>
      </c>
      <c r="E61">
        <v>792</v>
      </c>
      <c r="F61">
        <v>27</v>
      </c>
      <c r="G61">
        <v>25</v>
      </c>
      <c r="H61">
        <v>765</v>
      </c>
      <c r="I61">
        <v>3.4090909090909092</v>
      </c>
      <c r="J61">
        <v>96.590909090909093</v>
      </c>
      <c r="K61" t="str">
        <f>_xlfn.XLOOKUP(tblProduction[[#This Row],[Product]],tblProducts[Product],tblProducts[Category],"Not Found")</f>
        <v>Precision</v>
      </c>
      <c r="L61">
        <f>_xlfn.XLOOKUP(tblProduction[[#This Row],[Product]],tblProducts[Product],tblProducts[Target_Units],"Not Found")</f>
        <v>950</v>
      </c>
    </row>
    <row r="62" spans="1:12" x14ac:dyDescent="0.3">
      <c r="A62" s="1">
        <v>46029</v>
      </c>
      <c r="B62" t="s">
        <v>17</v>
      </c>
      <c r="C62" t="s">
        <v>10</v>
      </c>
      <c r="D62" t="s">
        <v>16</v>
      </c>
      <c r="E62">
        <v>843</v>
      </c>
      <c r="F62">
        <v>29</v>
      </c>
      <c r="G62">
        <v>10</v>
      </c>
      <c r="H62">
        <v>814</v>
      </c>
      <c r="I62">
        <v>3.4400948991696318</v>
      </c>
      <c r="J62">
        <v>96.559905100830363</v>
      </c>
      <c r="K62" t="str">
        <f>_xlfn.XLOOKUP(tblProduction[[#This Row],[Product]],tblProducts[Product],tblProducts[Category],"Not Found")</f>
        <v>Standard</v>
      </c>
      <c r="L62">
        <f>_xlfn.XLOOKUP(tblProduction[[#This Row],[Product]],tblProducts[Product],tblProducts[Target_Units],"Not Found")</f>
        <v>1000</v>
      </c>
    </row>
    <row r="63" spans="1:12" x14ac:dyDescent="0.3">
      <c r="A63" s="1">
        <v>46029</v>
      </c>
      <c r="B63" t="s">
        <v>17</v>
      </c>
      <c r="C63" t="s">
        <v>12</v>
      </c>
      <c r="D63" t="s">
        <v>16</v>
      </c>
      <c r="E63">
        <v>818</v>
      </c>
      <c r="F63">
        <v>28</v>
      </c>
      <c r="G63">
        <v>6</v>
      </c>
      <c r="H63">
        <v>790</v>
      </c>
      <c r="I63">
        <v>3.4229828850855739</v>
      </c>
      <c r="J63">
        <v>96.577017114914426</v>
      </c>
      <c r="K63" t="str">
        <f>_xlfn.XLOOKUP(tblProduction[[#This Row],[Product]],tblProducts[Product],tblProducts[Category],"Not Found")</f>
        <v>Standard</v>
      </c>
      <c r="L63">
        <f>_xlfn.XLOOKUP(tblProduction[[#This Row],[Product]],tblProducts[Product],tblProducts[Target_Units],"Not Found")</f>
        <v>1000</v>
      </c>
    </row>
    <row r="64" spans="1:12" x14ac:dyDescent="0.3">
      <c r="A64" s="1">
        <v>46029</v>
      </c>
      <c r="B64" t="s">
        <v>17</v>
      </c>
      <c r="C64" t="s">
        <v>13</v>
      </c>
      <c r="D64" t="s">
        <v>18</v>
      </c>
      <c r="E64">
        <v>733</v>
      </c>
      <c r="F64">
        <v>32</v>
      </c>
      <c r="G64">
        <v>5</v>
      </c>
      <c r="H64">
        <v>701</v>
      </c>
      <c r="I64">
        <v>4.3656207366984994</v>
      </c>
      <c r="J64">
        <v>95.634379263301511</v>
      </c>
      <c r="K64" t="str">
        <f>_xlfn.XLOOKUP(tblProduction[[#This Row],[Product]],tblProducts[Product],tblProducts[Category],"Not Found")</f>
        <v>Assembly</v>
      </c>
      <c r="L64">
        <f>_xlfn.XLOOKUP(tblProduction[[#This Row],[Product]],tblProducts[Product],tblProducts[Target_Units],"Not Found")</f>
        <v>900</v>
      </c>
    </row>
    <row r="65" spans="1:12" x14ac:dyDescent="0.3">
      <c r="A65" s="1">
        <v>46030</v>
      </c>
      <c r="B65" t="s">
        <v>9</v>
      </c>
      <c r="C65" t="s">
        <v>10</v>
      </c>
      <c r="D65" t="s">
        <v>18</v>
      </c>
      <c r="E65">
        <v>1000</v>
      </c>
      <c r="F65">
        <v>15</v>
      </c>
      <c r="G65">
        <v>13</v>
      </c>
      <c r="H65">
        <v>985</v>
      </c>
      <c r="I65">
        <v>1.5</v>
      </c>
      <c r="J65">
        <v>98.5</v>
      </c>
      <c r="K65" t="str">
        <f>_xlfn.XLOOKUP(tblProduction[[#This Row],[Product]],tblProducts[Product],tblProducts[Category],"Not Found")</f>
        <v>Assembly</v>
      </c>
      <c r="L65">
        <f>_xlfn.XLOOKUP(tblProduction[[#This Row],[Product]],tblProducts[Product],tblProducts[Target_Units],"Not Found")</f>
        <v>900</v>
      </c>
    </row>
    <row r="66" spans="1:12" x14ac:dyDescent="0.3">
      <c r="A66" s="1">
        <v>46030</v>
      </c>
      <c r="B66" t="s">
        <v>9</v>
      </c>
      <c r="C66" t="s">
        <v>12</v>
      </c>
      <c r="D66" t="s">
        <v>18</v>
      </c>
      <c r="E66">
        <v>890</v>
      </c>
      <c r="F66">
        <v>13</v>
      </c>
      <c r="G66">
        <v>45</v>
      </c>
      <c r="H66">
        <v>877</v>
      </c>
      <c r="I66">
        <v>1.460674157303371</v>
      </c>
      <c r="J66">
        <v>98.539325842696641</v>
      </c>
      <c r="K66" t="str">
        <f>_xlfn.XLOOKUP(tblProduction[[#This Row],[Product]],tblProducts[Product],tblProducts[Category],"Not Found")</f>
        <v>Assembly</v>
      </c>
      <c r="L66">
        <f>_xlfn.XLOOKUP(tblProduction[[#This Row],[Product]],tblProducts[Product],tblProducts[Target_Units],"Not Found")</f>
        <v>900</v>
      </c>
    </row>
    <row r="67" spans="1:12" x14ac:dyDescent="0.3">
      <c r="A67" s="1">
        <v>46030</v>
      </c>
      <c r="B67" t="s">
        <v>9</v>
      </c>
      <c r="C67" t="s">
        <v>13</v>
      </c>
      <c r="D67" t="s">
        <v>18</v>
      </c>
      <c r="E67">
        <v>723</v>
      </c>
      <c r="F67">
        <v>18</v>
      </c>
      <c r="G67">
        <v>80</v>
      </c>
      <c r="H67">
        <v>705</v>
      </c>
      <c r="I67">
        <v>2.489626556016598</v>
      </c>
      <c r="J67">
        <v>97.510373443983397</v>
      </c>
      <c r="K67" t="str">
        <f>_xlfn.XLOOKUP(tblProduction[[#This Row],[Product]],tblProducts[Product],tblProducts[Category],"Not Found")</f>
        <v>Assembly</v>
      </c>
      <c r="L67">
        <f>_xlfn.XLOOKUP(tblProduction[[#This Row],[Product]],tblProducts[Product],tblProducts[Target_Units],"Not Found")</f>
        <v>900</v>
      </c>
    </row>
    <row r="68" spans="1:12" x14ac:dyDescent="0.3">
      <c r="A68" s="1">
        <v>46030</v>
      </c>
      <c r="B68" t="s">
        <v>15</v>
      </c>
      <c r="C68" t="s">
        <v>10</v>
      </c>
      <c r="D68" t="s">
        <v>14</v>
      </c>
      <c r="E68">
        <v>726</v>
      </c>
      <c r="F68">
        <v>23</v>
      </c>
      <c r="G68">
        <v>79</v>
      </c>
      <c r="H68">
        <v>703</v>
      </c>
      <c r="I68">
        <v>3.168044077134986</v>
      </c>
      <c r="J68">
        <v>96.831955922865006</v>
      </c>
      <c r="K68" t="str">
        <f>_xlfn.XLOOKUP(tblProduction[[#This Row],[Product]],tblProducts[Product],tblProducts[Category],"Not Found")</f>
        <v>Assembly</v>
      </c>
      <c r="L68">
        <f>_xlfn.XLOOKUP(tblProduction[[#This Row],[Product]],tblProducts[Product],tblProducts[Target_Units],"Not Found")</f>
        <v>850</v>
      </c>
    </row>
    <row r="69" spans="1:12" x14ac:dyDescent="0.3">
      <c r="A69" s="1">
        <v>46030</v>
      </c>
      <c r="B69" t="s">
        <v>15</v>
      </c>
      <c r="C69" t="s">
        <v>12</v>
      </c>
      <c r="D69" t="s">
        <v>18</v>
      </c>
      <c r="E69">
        <v>869</v>
      </c>
      <c r="F69">
        <v>21</v>
      </c>
      <c r="G69">
        <v>8</v>
      </c>
      <c r="H69">
        <v>848</v>
      </c>
      <c r="I69">
        <v>2.416570771001151</v>
      </c>
      <c r="J69">
        <v>97.583429228998853</v>
      </c>
      <c r="K69" t="str">
        <f>_xlfn.XLOOKUP(tblProduction[[#This Row],[Product]],tblProducts[Product],tblProducts[Category],"Not Found")</f>
        <v>Assembly</v>
      </c>
      <c r="L69">
        <f>_xlfn.XLOOKUP(tblProduction[[#This Row],[Product]],tblProducts[Product],tblProducts[Target_Units],"Not Found")</f>
        <v>900</v>
      </c>
    </row>
    <row r="70" spans="1:12" x14ac:dyDescent="0.3">
      <c r="A70" s="1">
        <v>46030</v>
      </c>
      <c r="B70" t="s">
        <v>15</v>
      </c>
      <c r="C70" t="s">
        <v>13</v>
      </c>
      <c r="D70" t="s">
        <v>18</v>
      </c>
      <c r="E70">
        <v>707</v>
      </c>
      <c r="F70">
        <v>24</v>
      </c>
      <c r="G70">
        <v>51</v>
      </c>
      <c r="H70">
        <v>683</v>
      </c>
      <c r="I70">
        <v>3.394625176803395</v>
      </c>
      <c r="J70">
        <v>96.605374823196613</v>
      </c>
      <c r="K70" t="str">
        <f>_xlfn.XLOOKUP(tblProduction[[#This Row],[Product]],tblProducts[Product],tblProducts[Category],"Not Found")</f>
        <v>Assembly</v>
      </c>
      <c r="L70">
        <f>_xlfn.XLOOKUP(tblProduction[[#This Row],[Product]],tblProducts[Product],tblProducts[Target_Units],"Not Found")</f>
        <v>900</v>
      </c>
    </row>
    <row r="71" spans="1:12" x14ac:dyDescent="0.3">
      <c r="A71" s="1">
        <v>46030</v>
      </c>
      <c r="B71" t="s">
        <v>17</v>
      </c>
      <c r="C71" t="s">
        <v>10</v>
      </c>
      <c r="D71" t="s">
        <v>11</v>
      </c>
      <c r="E71">
        <v>860</v>
      </c>
      <c r="F71">
        <v>30</v>
      </c>
      <c r="G71">
        <v>16</v>
      </c>
      <c r="H71">
        <v>830</v>
      </c>
      <c r="I71">
        <v>3.4883720930232558</v>
      </c>
      <c r="J71">
        <v>96.511627906976756</v>
      </c>
      <c r="K71" t="str">
        <f>_xlfn.XLOOKUP(tblProduction[[#This Row],[Product]],tblProducts[Product],tblProducts[Category],"Not Found")</f>
        <v>Precision</v>
      </c>
      <c r="L71">
        <f>_xlfn.XLOOKUP(tblProduction[[#This Row],[Product]],tblProducts[Product],tblProducts[Target_Units],"Not Found")</f>
        <v>950</v>
      </c>
    </row>
    <row r="72" spans="1:12" x14ac:dyDescent="0.3">
      <c r="A72" s="1">
        <v>46030</v>
      </c>
      <c r="B72" t="s">
        <v>17</v>
      </c>
      <c r="C72" t="s">
        <v>12</v>
      </c>
      <c r="D72" t="s">
        <v>14</v>
      </c>
      <c r="E72">
        <v>680</v>
      </c>
      <c r="F72">
        <v>29</v>
      </c>
      <c r="G72">
        <v>18</v>
      </c>
      <c r="H72">
        <v>651</v>
      </c>
      <c r="I72">
        <v>4.2647058823529411</v>
      </c>
      <c r="J72">
        <v>95.735294117647058</v>
      </c>
      <c r="K72" t="str">
        <f>_xlfn.XLOOKUP(tblProduction[[#This Row],[Product]],tblProducts[Product],tblProducts[Category],"Not Found")</f>
        <v>Assembly</v>
      </c>
      <c r="L72">
        <f>_xlfn.XLOOKUP(tblProduction[[#This Row],[Product]],tblProducts[Product],tblProducts[Target_Units],"Not Found")</f>
        <v>850</v>
      </c>
    </row>
    <row r="73" spans="1:12" x14ac:dyDescent="0.3">
      <c r="A73" s="1">
        <v>46030</v>
      </c>
      <c r="B73" t="s">
        <v>17</v>
      </c>
      <c r="C73" t="s">
        <v>13</v>
      </c>
      <c r="D73" t="s">
        <v>18</v>
      </c>
      <c r="E73">
        <v>606</v>
      </c>
      <c r="F73">
        <v>27</v>
      </c>
      <c r="G73">
        <v>85</v>
      </c>
      <c r="H73">
        <v>579</v>
      </c>
      <c r="I73">
        <v>4.455445544554455</v>
      </c>
      <c r="J73">
        <v>95.544554455445535</v>
      </c>
      <c r="K73" t="str">
        <f>_xlfn.XLOOKUP(tblProduction[[#This Row],[Product]],tblProducts[Product],tblProducts[Category],"Not Found")</f>
        <v>Assembly</v>
      </c>
      <c r="L73">
        <f>_xlfn.XLOOKUP(tblProduction[[#This Row],[Product]],tblProducts[Product],tblProducts[Target_Units],"Not Found")</f>
        <v>900</v>
      </c>
    </row>
    <row r="74" spans="1:12" x14ac:dyDescent="0.3">
      <c r="A74" s="1">
        <v>46031</v>
      </c>
      <c r="B74" t="s">
        <v>9</v>
      </c>
      <c r="C74" t="s">
        <v>10</v>
      </c>
      <c r="D74" t="s">
        <v>18</v>
      </c>
      <c r="E74">
        <v>998</v>
      </c>
      <c r="F74">
        <v>14</v>
      </c>
      <c r="G74">
        <v>3</v>
      </c>
      <c r="H74">
        <v>984</v>
      </c>
      <c r="I74">
        <v>1.402805611222445</v>
      </c>
      <c r="J74">
        <v>98.597194388777552</v>
      </c>
      <c r="K74" t="str">
        <f>_xlfn.XLOOKUP(tblProduction[[#This Row],[Product]],tblProducts[Product],tblProducts[Category],"Not Found")</f>
        <v>Assembly</v>
      </c>
      <c r="L74">
        <f>_xlfn.XLOOKUP(tblProduction[[#This Row],[Product]],tblProducts[Product],tblProducts[Target_Units],"Not Found")</f>
        <v>900</v>
      </c>
    </row>
    <row r="75" spans="1:12" x14ac:dyDescent="0.3">
      <c r="A75" s="1">
        <v>46031</v>
      </c>
      <c r="B75" t="s">
        <v>9</v>
      </c>
      <c r="C75" t="s">
        <v>12</v>
      </c>
      <c r="D75" t="s">
        <v>16</v>
      </c>
      <c r="E75">
        <v>981</v>
      </c>
      <c r="F75">
        <v>14</v>
      </c>
      <c r="G75">
        <v>62</v>
      </c>
      <c r="H75">
        <v>967</v>
      </c>
      <c r="I75">
        <v>1.427115188583078</v>
      </c>
      <c r="J75">
        <v>98.572884811416912</v>
      </c>
      <c r="K75" t="str">
        <f>_xlfn.XLOOKUP(tblProduction[[#This Row],[Product]],tblProducts[Product],tblProducts[Category],"Not Found")</f>
        <v>Standard</v>
      </c>
      <c r="L75">
        <f>_xlfn.XLOOKUP(tblProduction[[#This Row],[Product]],tblProducts[Product],tblProducts[Target_Units],"Not Found")</f>
        <v>1000</v>
      </c>
    </row>
    <row r="76" spans="1:12" x14ac:dyDescent="0.3">
      <c r="A76" s="1">
        <v>46031</v>
      </c>
      <c r="B76" t="s">
        <v>9</v>
      </c>
      <c r="C76" t="s">
        <v>13</v>
      </c>
      <c r="D76" t="s">
        <v>11</v>
      </c>
      <c r="E76">
        <v>844</v>
      </c>
      <c r="F76">
        <v>21</v>
      </c>
      <c r="G76">
        <v>65</v>
      </c>
      <c r="H76">
        <v>823</v>
      </c>
      <c r="I76">
        <v>2.488151658767773</v>
      </c>
      <c r="J76">
        <v>97.511848341232238</v>
      </c>
      <c r="K76" t="str">
        <f>_xlfn.XLOOKUP(tblProduction[[#This Row],[Product]],tblProducts[Product],tblProducts[Category],"Not Found")</f>
        <v>Precision</v>
      </c>
      <c r="L76">
        <f>_xlfn.XLOOKUP(tblProduction[[#This Row],[Product]],tblProducts[Product],tblProducts[Target_Units],"Not Found")</f>
        <v>950</v>
      </c>
    </row>
    <row r="77" spans="1:12" x14ac:dyDescent="0.3">
      <c r="A77" s="1">
        <v>46031</v>
      </c>
      <c r="B77" t="s">
        <v>15</v>
      </c>
      <c r="C77" t="s">
        <v>10</v>
      </c>
      <c r="D77" t="s">
        <v>11</v>
      </c>
      <c r="E77">
        <v>923</v>
      </c>
      <c r="F77">
        <v>23</v>
      </c>
      <c r="G77">
        <v>30</v>
      </c>
      <c r="H77">
        <v>900</v>
      </c>
      <c r="I77">
        <v>2.4918743228602378</v>
      </c>
      <c r="J77">
        <v>97.508125677139759</v>
      </c>
      <c r="K77" t="str">
        <f>_xlfn.XLOOKUP(tblProduction[[#This Row],[Product]],tblProducts[Product],tblProducts[Category],"Not Found")</f>
        <v>Precision</v>
      </c>
      <c r="L77">
        <f>_xlfn.XLOOKUP(tblProduction[[#This Row],[Product]],tblProducts[Product],tblProducts[Target_Units],"Not Found")</f>
        <v>950</v>
      </c>
    </row>
    <row r="78" spans="1:12" x14ac:dyDescent="0.3">
      <c r="A78" s="1">
        <v>46031</v>
      </c>
      <c r="B78" t="s">
        <v>15</v>
      </c>
      <c r="C78" t="s">
        <v>12</v>
      </c>
      <c r="D78" t="s">
        <v>11</v>
      </c>
      <c r="E78">
        <v>819</v>
      </c>
      <c r="F78">
        <v>20</v>
      </c>
      <c r="G78">
        <v>42</v>
      </c>
      <c r="H78">
        <v>799</v>
      </c>
      <c r="I78">
        <v>2.4420024420024422</v>
      </c>
      <c r="J78">
        <v>97.557997557997552</v>
      </c>
      <c r="K78" t="str">
        <f>_xlfn.XLOOKUP(tblProduction[[#This Row],[Product]],tblProducts[Product],tblProducts[Category],"Not Found")</f>
        <v>Precision</v>
      </c>
      <c r="L78">
        <f>_xlfn.XLOOKUP(tblProduction[[#This Row],[Product]],tblProducts[Product],tblProducts[Target_Units],"Not Found")</f>
        <v>950</v>
      </c>
    </row>
    <row r="79" spans="1:12" x14ac:dyDescent="0.3">
      <c r="A79" s="1">
        <v>46031</v>
      </c>
      <c r="B79" t="s">
        <v>15</v>
      </c>
      <c r="C79" t="s">
        <v>13</v>
      </c>
      <c r="D79" t="s">
        <v>11</v>
      </c>
      <c r="E79">
        <v>786</v>
      </c>
      <c r="F79">
        <v>27</v>
      </c>
      <c r="G79">
        <v>46</v>
      </c>
      <c r="H79">
        <v>759</v>
      </c>
      <c r="I79">
        <v>3.4351145038167941</v>
      </c>
      <c r="J79">
        <v>96.564885496183209</v>
      </c>
      <c r="K79" t="str">
        <f>_xlfn.XLOOKUP(tblProduction[[#This Row],[Product]],tblProducts[Product],tblProducts[Category],"Not Found")</f>
        <v>Precision</v>
      </c>
      <c r="L79">
        <f>_xlfn.XLOOKUP(tblProduction[[#This Row],[Product]],tblProducts[Product],tblProducts[Target_Units],"Not Found")</f>
        <v>950</v>
      </c>
    </row>
    <row r="80" spans="1:12" x14ac:dyDescent="0.3">
      <c r="A80" s="1">
        <v>46031</v>
      </c>
      <c r="B80" t="s">
        <v>17</v>
      </c>
      <c r="C80" t="s">
        <v>10</v>
      </c>
      <c r="D80" t="s">
        <v>14</v>
      </c>
      <c r="E80">
        <v>713</v>
      </c>
      <c r="F80">
        <v>30</v>
      </c>
      <c r="G80">
        <v>39</v>
      </c>
      <c r="H80">
        <v>683</v>
      </c>
      <c r="I80">
        <v>4.2075736325385691</v>
      </c>
      <c r="J80">
        <v>95.792426367461431</v>
      </c>
      <c r="K80" t="str">
        <f>_xlfn.XLOOKUP(tblProduction[[#This Row],[Product]],tblProducts[Product],tblProducts[Category],"Not Found")</f>
        <v>Assembly</v>
      </c>
      <c r="L80">
        <f>_xlfn.XLOOKUP(tblProduction[[#This Row],[Product]],tblProducts[Product],tblProducts[Target_Units],"Not Found")</f>
        <v>850</v>
      </c>
    </row>
    <row r="81" spans="1:12" x14ac:dyDescent="0.3">
      <c r="A81" s="1">
        <v>46031</v>
      </c>
      <c r="B81" t="s">
        <v>17</v>
      </c>
      <c r="C81" t="s">
        <v>12</v>
      </c>
      <c r="D81" t="s">
        <v>11</v>
      </c>
      <c r="E81">
        <v>752</v>
      </c>
      <c r="F81">
        <v>26</v>
      </c>
      <c r="G81">
        <v>28</v>
      </c>
      <c r="H81">
        <v>726</v>
      </c>
      <c r="I81">
        <v>3.457446808510638</v>
      </c>
      <c r="J81">
        <v>96.542553191489361</v>
      </c>
      <c r="K81" t="str">
        <f>_xlfn.XLOOKUP(tblProduction[[#This Row],[Product]],tblProducts[Product],tblProducts[Category],"Not Found")</f>
        <v>Precision</v>
      </c>
      <c r="L81">
        <f>_xlfn.XLOOKUP(tblProduction[[#This Row],[Product]],tblProducts[Product],tblProducts[Target_Units],"Not Found")</f>
        <v>950</v>
      </c>
    </row>
    <row r="82" spans="1:12" x14ac:dyDescent="0.3">
      <c r="A82" s="1">
        <v>46031</v>
      </c>
      <c r="B82" t="s">
        <v>17</v>
      </c>
      <c r="C82" t="s">
        <v>13</v>
      </c>
      <c r="D82" t="s">
        <v>11</v>
      </c>
      <c r="E82">
        <v>642</v>
      </c>
      <c r="F82">
        <v>28</v>
      </c>
      <c r="G82">
        <v>74</v>
      </c>
      <c r="H82">
        <v>614</v>
      </c>
      <c r="I82">
        <v>4.361370716510903</v>
      </c>
      <c r="J82">
        <v>95.638629283489095</v>
      </c>
      <c r="K82" t="str">
        <f>_xlfn.XLOOKUP(tblProduction[[#This Row],[Product]],tblProducts[Product],tblProducts[Category],"Not Found")</f>
        <v>Precision</v>
      </c>
      <c r="L82">
        <f>_xlfn.XLOOKUP(tblProduction[[#This Row],[Product]],tblProducts[Product],tblProducts[Target_Units],"Not Found")</f>
        <v>950</v>
      </c>
    </row>
    <row r="83" spans="1:12" x14ac:dyDescent="0.3">
      <c r="A83" s="1">
        <v>46032</v>
      </c>
      <c r="B83" t="s">
        <v>9</v>
      </c>
      <c r="C83" t="s">
        <v>10</v>
      </c>
      <c r="D83" t="s">
        <v>16</v>
      </c>
      <c r="E83">
        <v>983</v>
      </c>
      <c r="F83">
        <v>14</v>
      </c>
      <c r="G83">
        <v>89</v>
      </c>
      <c r="H83">
        <v>969</v>
      </c>
      <c r="I83">
        <v>1.424211597151577</v>
      </c>
      <c r="J83">
        <v>98.575788402848417</v>
      </c>
      <c r="K83" t="str">
        <f>_xlfn.XLOOKUP(tblProduction[[#This Row],[Product]],tblProducts[Product],tblProducts[Category],"Not Found")</f>
        <v>Standard</v>
      </c>
      <c r="L83">
        <f>_xlfn.XLOOKUP(tblProduction[[#This Row],[Product]],tblProducts[Product],tblProducts[Target_Units],"Not Found")</f>
        <v>1000</v>
      </c>
    </row>
    <row r="84" spans="1:12" x14ac:dyDescent="0.3">
      <c r="A84" s="1">
        <v>46032</v>
      </c>
      <c r="B84" t="s">
        <v>9</v>
      </c>
      <c r="C84" t="s">
        <v>12</v>
      </c>
      <c r="D84" t="s">
        <v>18</v>
      </c>
      <c r="E84">
        <v>838</v>
      </c>
      <c r="F84">
        <v>12</v>
      </c>
      <c r="G84">
        <v>49</v>
      </c>
      <c r="H84">
        <v>826</v>
      </c>
      <c r="I84">
        <v>1.431980906921241</v>
      </c>
      <c r="J84">
        <v>98.56801909307876</v>
      </c>
      <c r="K84" t="str">
        <f>_xlfn.XLOOKUP(tblProduction[[#This Row],[Product]],tblProducts[Product],tblProducts[Category],"Not Found")</f>
        <v>Assembly</v>
      </c>
      <c r="L84">
        <f>_xlfn.XLOOKUP(tblProduction[[#This Row],[Product]],tblProducts[Product],tblProducts[Target_Units],"Not Found")</f>
        <v>900</v>
      </c>
    </row>
    <row r="85" spans="1:12" x14ac:dyDescent="0.3">
      <c r="A85" s="1">
        <v>46032</v>
      </c>
      <c r="B85" t="s">
        <v>9</v>
      </c>
      <c r="C85" t="s">
        <v>13</v>
      </c>
      <c r="D85" t="s">
        <v>16</v>
      </c>
      <c r="E85">
        <v>912</v>
      </c>
      <c r="F85">
        <v>22</v>
      </c>
      <c r="G85">
        <v>52</v>
      </c>
      <c r="H85">
        <v>890</v>
      </c>
      <c r="I85">
        <v>2.4122807017543861</v>
      </c>
      <c r="J85">
        <v>97.587719298245617</v>
      </c>
      <c r="K85" t="str">
        <f>_xlfn.XLOOKUP(tblProduction[[#This Row],[Product]],tblProducts[Product],tblProducts[Category],"Not Found")</f>
        <v>Standard</v>
      </c>
      <c r="L85">
        <f>_xlfn.XLOOKUP(tblProduction[[#This Row],[Product]],tblProducts[Product],tblProducts[Target_Units],"Not Found")</f>
        <v>1000</v>
      </c>
    </row>
    <row r="86" spans="1:12" x14ac:dyDescent="0.3">
      <c r="A86" s="1">
        <v>46032</v>
      </c>
      <c r="B86" t="s">
        <v>15</v>
      </c>
      <c r="C86" t="s">
        <v>10</v>
      </c>
      <c r="D86" t="s">
        <v>14</v>
      </c>
      <c r="E86">
        <v>856</v>
      </c>
      <c r="F86">
        <v>28</v>
      </c>
      <c r="G86">
        <v>6</v>
      </c>
      <c r="H86">
        <v>828</v>
      </c>
      <c r="I86">
        <v>3.2710280373831768</v>
      </c>
      <c r="J86">
        <v>96.728971962616825</v>
      </c>
      <c r="K86" t="str">
        <f>_xlfn.XLOOKUP(tblProduction[[#This Row],[Product]],tblProducts[Product],tblProducts[Category],"Not Found")</f>
        <v>Assembly</v>
      </c>
      <c r="L86">
        <f>_xlfn.XLOOKUP(tblProduction[[#This Row],[Product]],tblProducts[Product],tblProducts[Target_Units],"Not Found")</f>
        <v>850</v>
      </c>
    </row>
    <row r="87" spans="1:12" x14ac:dyDescent="0.3">
      <c r="A87" s="1">
        <v>46032</v>
      </c>
      <c r="B87" t="s">
        <v>15</v>
      </c>
      <c r="C87" t="s">
        <v>12</v>
      </c>
      <c r="D87" t="s">
        <v>14</v>
      </c>
      <c r="E87">
        <v>803</v>
      </c>
      <c r="F87">
        <v>26</v>
      </c>
      <c r="G87">
        <v>14</v>
      </c>
      <c r="H87">
        <v>777</v>
      </c>
      <c r="I87">
        <v>3.2378580323785799</v>
      </c>
      <c r="J87">
        <v>96.762141967621417</v>
      </c>
      <c r="K87" t="str">
        <f>_xlfn.XLOOKUP(tblProduction[[#This Row],[Product]],tblProducts[Product],tblProducts[Category],"Not Found")</f>
        <v>Assembly</v>
      </c>
      <c r="L87">
        <f>_xlfn.XLOOKUP(tblProduction[[#This Row],[Product]],tblProducts[Product],tblProducts[Target_Units],"Not Found")</f>
        <v>850</v>
      </c>
    </row>
    <row r="88" spans="1:12" x14ac:dyDescent="0.3">
      <c r="A88" s="1">
        <v>46032</v>
      </c>
      <c r="B88" t="s">
        <v>15</v>
      </c>
      <c r="C88" t="s">
        <v>13</v>
      </c>
      <c r="D88" t="s">
        <v>16</v>
      </c>
      <c r="E88">
        <v>799</v>
      </c>
      <c r="F88">
        <v>27</v>
      </c>
      <c r="G88">
        <v>40</v>
      </c>
      <c r="H88">
        <v>772</v>
      </c>
      <c r="I88">
        <v>3.3792240300375469</v>
      </c>
      <c r="J88">
        <v>96.620775969962452</v>
      </c>
      <c r="K88" t="str">
        <f>_xlfn.XLOOKUP(tblProduction[[#This Row],[Product]],tblProducts[Product],tblProducts[Category],"Not Found")</f>
        <v>Standard</v>
      </c>
      <c r="L88">
        <f>_xlfn.XLOOKUP(tblProduction[[#This Row],[Product]],tblProducts[Product],tblProducts[Target_Units],"Not Found")</f>
        <v>1000</v>
      </c>
    </row>
    <row r="89" spans="1:12" x14ac:dyDescent="0.3">
      <c r="A89" s="1">
        <v>46032</v>
      </c>
      <c r="B89" t="s">
        <v>17</v>
      </c>
      <c r="C89" t="s">
        <v>10</v>
      </c>
      <c r="D89" t="s">
        <v>18</v>
      </c>
      <c r="E89">
        <v>815</v>
      </c>
      <c r="F89">
        <v>28</v>
      </c>
      <c r="G89">
        <v>21</v>
      </c>
      <c r="H89">
        <v>787</v>
      </c>
      <c r="I89">
        <v>3.4355828220858902</v>
      </c>
      <c r="J89">
        <v>96.564417177914109</v>
      </c>
      <c r="K89" t="str">
        <f>_xlfn.XLOOKUP(tblProduction[[#This Row],[Product]],tblProducts[Product],tblProducts[Category],"Not Found")</f>
        <v>Assembly</v>
      </c>
      <c r="L89">
        <f>_xlfn.XLOOKUP(tblProduction[[#This Row],[Product]],tblProducts[Product],tblProducts[Target_Units],"Not Found")</f>
        <v>900</v>
      </c>
    </row>
    <row r="90" spans="1:12" x14ac:dyDescent="0.3">
      <c r="A90" s="1">
        <v>46032</v>
      </c>
      <c r="B90" t="s">
        <v>17</v>
      </c>
      <c r="C90" t="s">
        <v>12</v>
      </c>
      <c r="D90" t="s">
        <v>18</v>
      </c>
      <c r="E90">
        <v>662</v>
      </c>
      <c r="F90">
        <v>23</v>
      </c>
      <c r="G90">
        <v>67</v>
      </c>
      <c r="H90">
        <v>639</v>
      </c>
      <c r="I90">
        <v>3.4743202416918431</v>
      </c>
      <c r="J90">
        <v>96.525679758308158</v>
      </c>
      <c r="K90" t="str">
        <f>_xlfn.XLOOKUP(tblProduction[[#This Row],[Product]],tblProducts[Product],tblProducts[Category],"Not Found")</f>
        <v>Assembly</v>
      </c>
      <c r="L90">
        <f>_xlfn.XLOOKUP(tblProduction[[#This Row],[Product]],tblProducts[Product],tblProducts[Target_Units],"Not Found")</f>
        <v>900</v>
      </c>
    </row>
    <row r="91" spans="1:12" x14ac:dyDescent="0.3">
      <c r="A91" s="1">
        <v>46032</v>
      </c>
      <c r="B91" t="s">
        <v>17</v>
      </c>
      <c r="C91" t="s">
        <v>13</v>
      </c>
      <c r="D91" t="s">
        <v>16</v>
      </c>
      <c r="E91">
        <v>806</v>
      </c>
      <c r="F91">
        <v>36</v>
      </c>
      <c r="G91">
        <v>4</v>
      </c>
      <c r="H91">
        <v>770</v>
      </c>
      <c r="I91">
        <v>4.4665012406947886</v>
      </c>
      <c r="J91">
        <v>95.533498759305218</v>
      </c>
      <c r="K91" t="str">
        <f>_xlfn.XLOOKUP(tblProduction[[#This Row],[Product]],tblProducts[Product],tblProducts[Category],"Not Found")</f>
        <v>Standard</v>
      </c>
      <c r="L91">
        <f>_xlfn.XLOOKUP(tblProduction[[#This Row],[Product]],tblProducts[Product],tblProducts[Target_Units],"Not Found")</f>
        <v>1000</v>
      </c>
    </row>
    <row r="92" spans="1:12" x14ac:dyDescent="0.3">
      <c r="A92" s="1">
        <v>46033</v>
      </c>
      <c r="B92" t="s">
        <v>9</v>
      </c>
      <c r="C92" t="s">
        <v>10</v>
      </c>
      <c r="D92" t="s">
        <v>16</v>
      </c>
      <c r="E92">
        <v>954</v>
      </c>
      <c r="F92">
        <v>14</v>
      </c>
      <c r="G92">
        <v>84</v>
      </c>
      <c r="H92">
        <v>940</v>
      </c>
      <c r="I92">
        <v>1.467505241090147</v>
      </c>
      <c r="J92">
        <v>98.532494758909849</v>
      </c>
      <c r="K92" t="str">
        <f>_xlfn.XLOOKUP(tblProduction[[#This Row],[Product]],tblProducts[Product],tblProducts[Category],"Not Found")</f>
        <v>Standard</v>
      </c>
      <c r="L92">
        <f>_xlfn.XLOOKUP(tblProduction[[#This Row],[Product]],tblProducts[Product],tblProducts[Target_Units],"Not Found")</f>
        <v>1000</v>
      </c>
    </row>
    <row r="93" spans="1:12" x14ac:dyDescent="0.3">
      <c r="A93" s="1">
        <v>46033</v>
      </c>
      <c r="B93" t="s">
        <v>9</v>
      </c>
      <c r="C93" t="s">
        <v>12</v>
      </c>
      <c r="D93" t="s">
        <v>14</v>
      </c>
      <c r="E93">
        <v>812</v>
      </c>
      <c r="F93">
        <v>18</v>
      </c>
      <c r="G93">
        <v>69</v>
      </c>
      <c r="H93">
        <v>794</v>
      </c>
      <c r="I93">
        <v>2.216748768472907</v>
      </c>
      <c r="J93">
        <v>97.783251231527089</v>
      </c>
      <c r="K93" t="str">
        <f>_xlfn.XLOOKUP(tblProduction[[#This Row],[Product]],tblProducts[Product],tblProducts[Category],"Not Found")</f>
        <v>Assembly</v>
      </c>
      <c r="L93">
        <f>_xlfn.XLOOKUP(tblProduction[[#This Row],[Product]],tblProducts[Product],tblProducts[Target_Units],"Not Found")</f>
        <v>850</v>
      </c>
    </row>
    <row r="94" spans="1:12" x14ac:dyDescent="0.3">
      <c r="A94" s="1">
        <v>46033</v>
      </c>
      <c r="B94" t="s">
        <v>9</v>
      </c>
      <c r="C94" t="s">
        <v>13</v>
      </c>
      <c r="D94" t="s">
        <v>14</v>
      </c>
      <c r="E94">
        <v>778</v>
      </c>
      <c r="F94">
        <v>25</v>
      </c>
      <c r="G94">
        <v>58</v>
      </c>
      <c r="H94">
        <v>753</v>
      </c>
      <c r="I94">
        <v>3.2133676092544992</v>
      </c>
      <c r="J94">
        <v>96.786632390745496</v>
      </c>
      <c r="K94" t="str">
        <f>_xlfn.XLOOKUP(tblProduction[[#This Row],[Product]],tblProducts[Product],tblProducts[Category],"Not Found")</f>
        <v>Assembly</v>
      </c>
      <c r="L94">
        <f>_xlfn.XLOOKUP(tblProduction[[#This Row],[Product]],tblProducts[Product],tblProducts[Target_Units],"Not Found")</f>
        <v>850</v>
      </c>
    </row>
    <row r="95" spans="1:12" x14ac:dyDescent="0.3">
      <c r="A95" s="1">
        <v>46033</v>
      </c>
      <c r="B95" t="s">
        <v>15</v>
      </c>
      <c r="C95" t="s">
        <v>10</v>
      </c>
      <c r="D95" t="s">
        <v>16</v>
      </c>
      <c r="E95">
        <v>988</v>
      </c>
      <c r="F95">
        <v>24</v>
      </c>
      <c r="G95">
        <v>24</v>
      </c>
      <c r="H95">
        <v>964</v>
      </c>
      <c r="I95">
        <v>2.42914979757085</v>
      </c>
      <c r="J95">
        <v>97.570850202429142</v>
      </c>
      <c r="K95" t="str">
        <f>_xlfn.XLOOKUP(tblProduction[[#This Row],[Product]],tblProducts[Product],tblProducts[Category],"Not Found")</f>
        <v>Standard</v>
      </c>
      <c r="L95">
        <f>_xlfn.XLOOKUP(tblProduction[[#This Row],[Product]],tblProducts[Product],tblProducts[Target_Units],"Not Found")</f>
        <v>1000</v>
      </c>
    </row>
    <row r="96" spans="1:12" x14ac:dyDescent="0.3">
      <c r="A96" s="1">
        <v>46033</v>
      </c>
      <c r="B96" t="s">
        <v>15</v>
      </c>
      <c r="C96" t="s">
        <v>12</v>
      </c>
      <c r="D96" t="s">
        <v>18</v>
      </c>
      <c r="E96">
        <v>773</v>
      </c>
      <c r="F96">
        <v>19</v>
      </c>
      <c r="G96">
        <v>82</v>
      </c>
      <c r="H96">
        <v>754</v>
      </c>
      <c r="I96">
        <v>2.4579560155239331</v>
      </c>
      <c r="J96">
        <v>97.542043984476066</v>
      </c>
      <c r="K96" t="str">
        <f>_xlfn.XLOOKUP(tblProduction[[#This Row],[Product]],tblProducts[Product],tblProducts[Category],"Not Found")</f>
        <v>Assembly</v>
      </c>
      <c r="L96">
        <f>_xlfn.XLOOKUP(tblProduction[[#This Row],[Product]],tblProducts[Product],tblProducts[Target_Units],"Not Found")</f>
        <v>900</v>
      </c>
    </row>
    <row r="97" spans="1:12" x14ac:dyDescent="0.3">
      <c r="A97" s="1">
        <v>46033</v>
      </c>
      <c r="B97" t="s">
        <v>15</v>
      </c>
      <c r="C97" t="s">
        <v>13</v>
      </c>
      <c r="D97" t="s">
        <v>18</v>
      </c>
      <c r="E97">
        <v>773</v>
      </c>
      <c r="F97">
        <v>27</v>
      </c>
      <c r="G97">
        <v>31</v>
      </c>
      <c r="H97">
        <v>746</v>
      </c>
      <c r="I97">
        <v>3.492884864165589</v>
      </c>
      <c r="J97">
        <v>96.507115135834411</v>
      </c>
      <c r="K97" t="str">
        <f>_xlfn.XLOOKUP(tblProduction[[#This Row],[Product]],tblProducts[Product],tblProducts[Category],"Not Found")</f>
        <v>Assembly</v>
      </c>
      <c r="L97">
        <f>_xlfn.XLOOKUP(tblProduction[[#This Row],[Product]],tblProducts[Product],tblProducts[Target_Units],"Not Found")</f>
        <v>900</v>
      </c>
    </row>
    <row r="98" spans="1:12" x14ac:dyDescent="0.3">
      <c r="A98" s="1">
        <v>46033</v>
      </c>
      <c r="B98" t="s">
        <v>17</v>
      </c>
      <c r="C98" t="s">
        <v>10</v>
      </c>
      <c r="D98" t="s">
        <v>16</v>
      </c>
      <c r="E98">
        <v>790</v>
      </c>
      <c r="F98">
        <v>27</v>
      </c>
      <c r="G98">
        <v>72</v>
      </c>
      <c r="H98">
        <v>763</v>
      </c>
      <c r="I98">
        <v>3.4177215189873422</v>
      </c>
      <c r="J98">
        <v>96.582278481012665</v>
      </c>
      <c r="K98" t="str">
        <f>_xlfn.XLOOKUP(tblProduction[[#This Row],[Product]],tblProducts[Product],tblProducts[Category],"Not Found")</f>
        <v>Standard</v>
      </c>
      <c r="L98">
        <f>_xlfn.XLOOKUP(tblProduction[[#This Row],[Product]],tblProducts[Product],tblProducts[Target_Units],"Not Found")</f>
        <v>1000</v>
      </c>
    </row>
    <row r="99" spans="1:12" x14ac:dyDescent="0.3">
      <c r="A99" s="1">
        <v>46033</v>
      </c>
      <c r="B99" t="s">
        <v>17</v>
      </c>
      <c r="C99" t="s">
        <v>12</v>
      </c>
      <c r="D99" t="s">
        <v>14</v>
      </c>
      <c r="E99">
        <v>719</v>
      </c>
      <c r="F99">
        <v>30</v>
      </c>
      <c r="G99">
        <v>3</v>
      </c>
      <c r="H99">
        <v>689</v>
      </c>
      <c r="I99">
        <v>4.1724617524339358</v>
      </c>
      <c r="J99">
        <v>95.827538247566068</v>
      </c>
      <c r="K99" t="str">
        <f>_xlfn.XLOOKUP(tblProduction[[#This Row],[Product]],tblProducts[Product],tblProducts[Category],"Not Found")</f>
        <v>Assembly</v>
      </c>
      <c r="L99">
        <f>_xlfn.XLOOKUP(tblProduction[[#This Row],[Product]],tblProducts[Product],tblProducts[Target_Units],"Not Found")</f>
        <v>850</v>
      </c>
    </row>
    <row r="100" spans="1:12" x14ac:dyDescent="0.3">
      <c r="A100" s="1">
        <v>46033</v>
      </c>
      <c r="B100" t="s">
        <v>17</v>
      </c>
      <c r="C100" t="s">
        <v>13</v>
      </c>
      <c r="D100" t="s">
        <v>14</v>
      </c>
      <c r="E100">
        <v>662</v>
      </c>
      <c r="F100">
        <v>35</v>
      </c>
      <c r="G100">
        <v>19</v>
      </c>
      <c r="H100">
        <v>627</v>
      </c>
      <c r="I100">
        <v>5.287009063444108</v>
      </c>
      <c r="J100">
        <v>94.712990936555897</v>
      </c>
      <c r="K100" t="str">
        <f>_xlfn.XLOOKUP(tblProduction[[#This Row],[Product]],tblProducts[Product],tblProducts[Category],"Not Found")</f>
        <v>Assembly</v>
      </c>
      <c r="L100">
        <f>_xlfn.XLOOKUP(tblProduction[[#This Row],[Product]],tblProducts[Product],tblProducts[Target_Units],"Not Found")</f>
        <v>850</v>
      </c>
    </row>
    <row r="101" spans="1:12" x14ac:dyDescent="0.3">
      <c r="A101" s="1">
        <v>46034</v>
      </c>
      <c r="B101" t="s">
        <v>9</v>
      </c>
      <c r="C101" t="s">
        <v>10</v>
      </c>
      <c r="D101" t="s">
        <v>16</v>
      </c>
      <c r="E101">
        <v>960</v>
      </c>
      <c r="F101">
        <v>14</v>
      </c>
      <c r="G101">
        <v>85</v>
      </c>
      <c r="H101">
        <v>946</v>
      </c>
      <c r="I101">
        <v>1.458333333333333</v>
      </c>
      <c r="J101">
        <v>98.541666666666671</v>
      </c>
      <c r="K101" t="str">
        <f>_xlfn.XLOOKUP(tblProduction[[#This Row],[Product]],tblProducts[Product],tblProducts[Category],"Not Found")</f>
        <v>Standard</v>
      </c>
      <c r="L101">
        <f>_xlfn.XLOOKUP(tblProduction[[#This Row],[Product]],tblProducts[Product],tblProducts[Target_Units],"Not Found")</f>
        <v>1000</v>
      </c>
    </row>
    <row r="102" spans="1:12" x14ac:dyDescent="0.3">
      <c r="A102" s="1">
        <v>46034</v>
      </c>
      <c r="B102" t="s">
        <v>9</v>
      </c>
      <c r="C102" t="s">
        <v>12</v>
      </c>
      <c r="D102" t="s">
        <v>14</v>
      </c>
      <c r="E102">
        <v>749</v>
      </c>
      <c r="F102">
        <v>17</v>
      </c>
      <c r="G102">
        <v>87</v>
      </c>
      <c r="H102">
        <v>732</v>
      </c>
      <c r="I102">
        <v>2.2696929238985319</v>
      </c>
      <c r="J102">
        <v>97.730307076101468</v>
      </c>
      <c r="K102" t="str">
        <f>_xlfn.XLOOKUP(tblProduction[[#This Row],[Product]],tblProducts[Product],tblProducts[Category],"Not Found")</f>
        <v>Assembly</v>
      </c>
      <c r="L102">
        <f>_xlfn.XLOOKUP(tblProduction[[#This Row],[Product]],tblProducts[Product],tblProducts[Target_Units],"Not Found")</f>
        <v>850</v>
      </c>
    </row>
    <row r="103" spans="1:12" x14ac:dyDescent="0.3">
      <c r="A103" s="1">
        <v>46034</v>
      </c>
      <c r="B103" t="s">
        <v>9</v>
      </c>
      <c r="C103" t="s">
        <v>13</v>
      </c>
      <c r="D103" t="s">
        <v>14</v>
      </c>
      <c r="E103">
        <v>729</v>
      </c>
      <c r="F103">
        <v>24</v>
      </c>
      <c r="G103">
        <v>40</v>
      </c>
      <c r="H103">
        <v>705</v>
      </c>
      <c r="I103">
        <v>3.2921810699588478</v>
      </c>
      <c r="J103">
        <v>96.707818930041157</v>
      </c>
      <c r="K103" t="str">
        <f>_xlfn.XLOOKUP(tblProduction[[#This Row],[Product]],tblProducts[Product],tblProducts[Category],"Not Found")</f>
        <v>Assembly</v>
      </c>
      <c r="L103">
        <f>_xlfn.XLOOKUP(tblProduction[[#This Row],[Product]],tblProducts[Product],tblProducts[Target_Units],"Not Found")</f>
        <v>850</v>
      </c>
    </row>
    <row r="104" spans="1:12" x14ac:dyDescent="0.3">
      <c r="A104" s="1">
        <v>46034</v>
      </c>
      <c r="B104" t="s">
        <v>15</v>
      </c>
      <c r="C104" t="s">
        <v>10</v>
      </c>
      <c r="D104" t="s">
        <v>16</v>
      </c>
      <c r="E104">
        <v>894</v>
      </c>
      <c r="F104">
        <v>22</v>
      </c>
      <c r="G104">
        <v>48</v>
      </c>
      <c r="H104">
        <v>872</v>
      </c>
      <c r="I104">
        <v>2.4608501118568231</v>
      </c>
      <c r="J104">
        <v>97.539149888143172</v>
      </c>
      <c r="K104" t="str">
        <f>_xlfn.XLOOKUP(tblProduction[[#This Row],[Product]],tblProducts[Product],tblProducts[Category],"Not Found")</f>
        <v>Standard</v>
      </c>
      <c r="L104">
        <f>_xlfn.XLOOKUP(tblProduction[[#This Row],[Product]],tblProducts[Product],tblProducts[Target_Units],"Not Found")</f>
        <v>1000</v>
      </c>
    </row>
    <row r="105" spans="1:12" x14ac:dyDescent="0.3">
      <c r="A105" s="1">
        <v>46034</v>
      </c>
      <c r="B105" t="s">
        <v>15</v>
      </c>
      <c r="C105" t="s">
        <v>12</v>
      </c>
      <c r="D105" t="s">
        <v>18</v>
      </c>
      <c r="E105">
        <v>804</v>
      </c>
      <c r="F105">
        <v>20</v>
      </c>
      <c r="G105">
        <v>24</v>
      </c>
      <c r="H105">
        <v>784</v>
      </c>
      <c r="I105">
        <v>2.487562189054727</v>
      </c>
      <c r="J105">
        <v>97.512437810945272</v>
      </c>
      <c r="K105" t="str">
        <f>_xlfn.XLOOKUP(tblProduction[[#This Row],[Product]],tblProducts[Product],tblProducts[Category],"Not Found")</f>
        <v>Assembly</v>
      </c>
      <c r="L105">
        <f>_xlfn.XLOOKUP(tblProduction[[#This Row],[Product]],tblProducts[Product],tblProducts[Target_Units],"Not Found")</f>
        <v>900</v>
      </c>
    </row>
    <row r="106" spans="1:12" x14ac:dyDescent="0.3">
      <c r="A106" s="1">
        <v>46034</v>
      </c>
      <c r="B106" t="s">
        <v>9</v>
      </c>
      <c r="C106" t="s">
        <v>13</v>
      </c>
      <c r="D106" t="s">
        <v>18</v>
      </c>
      <c r="E106">
        <v>817</v>
      </c>
      <c r="F106">
        <v>28</v>
      </c>
      <c r="G106">
        <v>6</v>
      </c>
      <c r="H106">
        <v>789</v>
      </c>
      <c r="I106">
        <v>3.4271725826193391</v>
      </c>
      <c r="J106">
        <v>96.572827417380651</v>
      </c>
      <c r="K106" t="str">
        <f>_xlfn.XLOOKUP(tblProduction[[#This Row],[Product]],tblProducts[Product],tblProducts[Category],"Not Found")</f>
        <v>Assembly</v>
      </c>
      <c r="L106">
        <f>_xlfn.XLOOKUP(tblProduction[[#This Row],[Product]],tblProducts[Product],tblProducts[Target_Units],"Not Found")</f>
        <v>900</v>
      </c>
    </row>
    <row r="107" spans="1:12" x14ac:dyDescent="0.3">
      <c r="A107" s="1">
        <v>46034</v>
      </c>
      <c r="B107" t="s">
        <v>17</v>
      </c>
      <c r="C107" t="s">
        <v>10</v>
      </c>
      <c r="D107" t="s">
        <v>14</v>
      </c>
      <c r="E107">
        <v>728</v>
      </c>
      <c r="F107">
        <v>31</v>
      </c>
      <c r="G107">
        <v>24</v>
      </c>
      <c r="H107">
        <v>697</v>
      </c>
      <c r="I107">
        <v>4.2582417582417582</v>
      </c>
      <c r="J107">
        <v>95.741758241758248</v>
      </c>
      <c r="K107" t="str">
        <f>_xlfn.XLOOKUP(tblProduction[[#This Row],[Product]],tblProducts[Product],tblProducts[Category],"Not Found")</f>
        <v>Assembly</v>
      </c>
      <c r="L107">
        <f>_xlfn.XLOOKUP(tblProduction[[#This Row],[Product]],tblProducts[Product],tblProducts[Target_Units],"Not Found")</f>
        <v>850</v>
      </c>
    </row>
    <row r="108" spans="1:12" x14ac:dyDescent="0.3">
      <c r="A108" s="1">
        <v>46034</v>
      </c>
      <c r="B108" t="s">
        <v>17</v>
      </c>
      <c r="C108" t="s">
        <v>12</v>
      </c>
      <c r="D108" t="s">
        <v>11</v>
      </c>
      <c r="E108">
        <v>720</v>
      </c>
      <c r="F108">
        <v>25</v>
      </c>
      <c r="G108">
        <v>46</v>
      </c>
      <c r="H108">
        <v>695</v>
      </c>
      <c r="I108">
        <v>3.4722222222222219</v>
      </c>
      <c r="J108">
        <v>96.527777777777786</v>
      </c>
      <c r="K108" t="str">
        <f>_xlfn.XLOOKUP(tblProduction[[#This Row],[Product]],tblProducts[Product],tblProducts[Category],"Not Found")</f>
        <v>Precision</v>
      </c>
      <c r="L108">
        <f>_xlfn.XLOOKUP(tblProduction[[#This Row],[Product]],tblProducts[Product],tblProducts[Target_Units],"Not Found")</f>
        <v>950</v>
      </c>
    </row>
    <row r="109" spans="1:12" x14ac:dyDescent="0.3">
      <c r="A109" s="1">
        <v>46034</v>
      </c>
      <c r="B109" t="s">
        <v>17</v>
      </c>
      <c r="C109" t="s">
        <v>13</v>
      </c>
      <c r="D109" t="s">
        <v>14</v>
      </c>
      <c r="E109">
        <v>602</v>
      </c>
      <c r="F109">
        <v>31</v>
      </c>
      <c r="G109">
        <v>57</v>
      </c>
      <c r="H109">
        <v>571</v>
      </c>
      <c r="I109">
        <v>5.1495016611295679</v>
      </c>
      <c r="J109">
        <v>94.850498338870437</v>
      </c>
      <c r="K109" t="str">
        <f>_xlfn.XLOOKUP(tblProduction[[#This Row],[Product]],tblProducts[Product],tblProducts[Category],"Not Found")</f>
        <v>Assembly</v>
      </c>
      <c r="L109">
        <f>_xlfn.XLOOKUP(tblProduction[[#This Row],[Product]],tblProducts[Product],tblProducts[Target_Units],"Not Found")</f>
        <v>850</v>
      </c>
    </row>
    <row r="110" spans="1:12" x14ac:dyDescent="0.3">
      <c r="A110" s="1">
        <v>46035</v>
      </c>
      <c r="B110" t="s">
        <v>9</v>
      </c>
      <c r="C110" t="s">
        <v>10</v>
      </c>
      <c r="D110" t="s">
        <v>18</v>
      </c>
      <c r="E110">
        <v>880</v>
      </c>
      <c r="F110">
        <v>13</v>
      </c>
      <c r="G110">
        <v>65</v>
      </c>
      <c r="H110">
        <v>867</v>
      </c>
      <c r="I110">
        <v>1.4772727272727271</v>
      </c>
      <c r="J110">
        <v>98.522727272727266</v>
      </c>
      <c r="K110" t="str">
        <f>_xlfn.XLOOKUP(tblProduction[[#This Row],[Product]],tblProducts[Product],tblProducts[Category],"Not Found")</f>
        <v>Assembly</v>
      </c>
      <c r="L110">
        <f>_xlfn.XLOOKUP(tblProduction[[#This Row],[Product]],tblProducts[Product],tblProducts[Target_Units],"Not Found")</f>
        <v>900</v>
      </c>
    </row>
    <row r="111" spans="1:12" x14ac:dyDescent="0.3">
      <c r="A111" s="1">
        <v>46035</v>
      </c>
      <c r="B111" t="s">
        <v>9</v>
      </c>
      <c r="C111" t="s">
        <v>12</v>
      </c>
      <c r="D111" t="s">
        <v>14</v>
      </c>
      <c r="E111">
        <v>785</v>
      </c>
      <c r="F111">
        <v>18</v>
      </c>
      <c r="G111">
        <v>46</v>
      </c>
      <c r="H111">
        <v>767</v>
      </c>
      <c r="I111">
        <v>2.2929936305732479</v>
      </c>
      <c r="J111">
        <v>97.70700636942675</v>
      </c>
      <c r="K111" t="str">
        <f>_xlfn.XLOOKUP(tblProduction[[#This Row],[Product]],tblProducts[Product],tblProducts[Category],"Not Found")</f>
        <v>Assembly</v>
      </c>
      <c r="L111">
        <f>_xlfn.XLOOKUP(tblProduction[[#This Row],[Product]],tblProducts[Product],tblProducts[Target_Units],"Not Found")</f>
        <v>850</v>
      </c>
    </row>
    <row r="112" spans="1:12" x14ac:dyDescent="0.3">
      <c r="A112" s="1">
        <v>46035</v>
      </c>
      <c r="B112" t="s">
        <v>9</v>
      </c>
      <c r="C112" t="s">
        <v>13</v>
      </c>
      <c r="D112" t="s">
        <v>16</v>
      </c>
      <c r="E112">
        <v>997</v>
      </c>
      <c r="F112">
        <v>24</v>
      </c>
      <c r="G112">
        <v>6</v>
      </c>
      <c r="H112">
        <v>973</v>
      </c>
      <c r="I112">
        <v>2.4072216649949851</v>
      </c>
      <c r="J112">
        <v>97.592778335005022</v>
      </c>
      <c r="K112" t="str">
        <f>_xlfn.XLOOKUP(tblProduction[[#This Row],[Product]],tblProducts[Product],tblProducts[Category],"Not Found")</f>
        <v>Standard</v>
      </c>
      <c r="L112">
        <f>_xlfn.XLOOKUP(tblProduction[[#This Row],[Product]],tblProducts[Product],tblProducts[Target_Units],"Not Found")</f>
        <v>1000</v>
      </c>
    </row>
    <row r="113" spans="1:12" x14ac:dyDescent="0.3">
      <c r="A113" s="1">
        <v>46035</v>
      </c>
      <c r="B113" t="s">
        <v>15</v>
      </c>
      <c r="C113" t="s">
        <v>10</v>
      </c>
      <c r="D113" t="s">
        <v>11</v>
      </c>
      <c r="E113">
        <v>959</v>
      </c>
      <c r="F113">
        <v>23</v>
      </c>
      <c r="G113">
        <v>11</v>
      </c>
      <c r="H113">
        <v>936</v>
      </c>
      <c r="I113">
        <v>2.3983315954118871</v>
      </c>
      <c r="J113">
        <v>97.601668404588111</v>
      </c>
      <c r="K113" t="str">
        <f>_xlfn.XLOOKUP(tblProduction[[#This Row],[Product]],tblProducts[Product],tblProducts[Category],"Not Found")</f>
        <v>Precision</v>
      </c>
      <c r="L113">
        <f>_xlfn.XLOOKUP(tblProduction[[#This Row],[Product]],tblProducts[Product],tblProducts[Target_Units],"Not Found")</f>
        <v>950</v>
      </c>
    </row>
    <row r="114" spans="1:12" x14ac:dyDescent="0.3">
      <c r="A114" s="1">
        <v>46035</v>
      </c>
      <c r="B114" t="s">
        <v>15</v>
      </c>
      <c r="C114" t="s">
        <v>12</v>
      </c>
      <c r="D114" t="s">
        <v>16</v>
      </c>
      <c r="E114">
        <v>814</v>
      </c>
      <c r="F114">
        <v>20</v>
      </c>
      <c r="G114">
        <v>85</v>
      </c>
      <c r="H114">
        <v>794</v>
      </c>
      <c r="I114">
        <v>2.4570024570024569</v>
      </c>
      <c r="J114">
        <v>97.54299754299754</v>
      </c>
      <c r="K114" t="str">
        <f>_xlfn.XLOOKUP(tblProduction[[#This Row],[Product]],tblProducts[Product],tblProducts[Category],"Not Found")</f>
        <v>Standard</v>
      </c>
      <c r="L114">
        <f>_xlfn.XLOOKUP(tblProduction[[#This Row],[Product]],tblProducts[Product],tblProducts[Target_Units],"Not Found")</f>
        <v>1000</v>
      </c>
    </row>
    <row r="115" spans="1:12" x14ac:dyDescent="0.3">
      <c r="A115" s="1">
        <v>46035</v>
      </c>
      <c r="B115" t="s">
        <v>15</v>
      </c>
      <c r="C115" t="s">
        <v>13</v>
      </c>
      <c r="D115" t="s">
        <v>14</v>
      </c>
      <c r="E115">
        <v>705</v>
      </c>
      <c r="F115">
        <v>30</v>
      </c>
      <c r="G115">
        <v>6</v>
      </c>
      <c r="H115">
        <v>675</v>
      </c>
      <c r="I115">
        <v>4.2553191489361701</v>
      </c>
      <c r="J115">
        <v>95.744680851063833</v>
      </c>
      <c r="K115" t="str">
        <f>_xlfn.XLOOKUP(tblProduction[[#This Row],[Product]],tblProducts[Product],tblProducts[Category],"Not Found")</f>
        <v>Assembly</v>
      </c>
      <c r="L115">
        <f>_xlfn.XLOOKUP(tblProduction[[#This Row],[Product]],tblProducts[Product],tblProducts[Target_Units],"Not Found")</f>
        <v>850</v>
      </c>
    </row>
    <row r="116" spans="1:12" x14ac:dyDescent="0.3">
      <c r="A116" s="1">
        <v>46035</v>
      </c>
      <c r="B116" t="s">
        <v>17</v>
      </c>
      <c r="C116" t="s">
        <v>10</v>
      </c>
      <c r="D116" t="s">
        <v>16</v>
      </c>
      <c r="E116">
        <v>863</v>
      </c>
      <c r="F116">
        <v>30</v>
      </c>
      <c r="G116">
        <v>49</v>
      </c>
      <c r="H116">
        <v>833</v>
      </c>
      <c r="I116">
        <v>3.4762456546929319</v>
      </c>
      <c r="J116">
        <v>96.523754345307069</v>
      </c>
      <c r="K116" t="str">
        <f>_xlfn.XLOOKUP(tblProduction[[#This Row],[Product]],tblProducts[Product],tblProducts[Category],"Not Found")</f>
        <v>Standard</v>
      </c>
      <c r="L116">
        <f>_xlfn.XLOOKUP(tblProduction[[#This Row],[Product]],tblProducts[Product],tblProducts[Target_Units],"Not Found")</f>
        <v>1000</v>
      </c>
    </row>
    <row r="117" spans="1:12" x14ac:dyDescent="0.3">
      <c r="A117" s="1">
        <v>46035</v>
      </c>
      <c r="B117" t="s">
        <v>17</v>
      </c>
      <c r="C117" t="s">
        <v>12</v>
      </c>
      <c r="D117" t="s">
        <v>18</v>
      </c>
      <c r="E117">
        <v>726</v>
      </c>
      <c r="F117">
        <v>25</v>
      </c>
      <c r="G117">
        <v>5</v>
      </c>
      <c r="H117">
        <v>701</v>
      </c>
      <c r="I117">
        <v>3.443526170798898</v>
      </c>
      <c r="J117">
        <v>96.55647382920111</v>
      </c>
      <c r="K117" t="str">
        <f>_xlfn.XLOOKUP(tblProduction[[#This Row],[Product]],tblProducts[Product],tblProducts[Category],"Not Found")</f>
        <v>Assembly</v>
      </c>
      <c r="L117">
        <f>_xlfn.XLOOKUP(tblProduction[[#This Row],[Product]],tblProducts[Product],tblProducts[Target_Units],"Not Found")</f>
        <v>900</v>
      </c>
    </row>
    <row r="118" spans="1:12" x14ac:dyDescent="0.3">
      <c r="A118" s="1">
        <v>46035</v>
      </c>
      <c r="B118" t="s">
        <v>17</v>
      </c>
      <c r="C118" t="s">
        <v>13</v>
      </c>
      <c r="D118" t="s">
        <v>18</v>
      </c>
      <c r="E118">
        <v>619</v>
      </c>
      <c r="F118">
        <v>27</v>
      </c>
      <c r="G118">
        <v>87</v>
      </c>
      <c r="H118">
        <v>592</v>
      </c>
      <c r="I118">
        <v>4.3618739903069468</v>
      </c>
      <c r="J118">
        <v>95.638126009693053</v>
      </c>
      <c r="K118" t="str">
        <f>_xlfn.XLOOKUP(tblProduction[[#This Row],[Product]],tblProducts[Product],tblProducts[Category],"Not Found")</f>
        <v>Assembly</v>
      </c>
      <c r="L118">
        <f>_xlfn.XLOOKUP(tblProduction[[#This Row],[Product]],tblProducts[Product],tblProducts[Target_Units],"Not Found")</f>
        <v>900</v>
      </c>
    </row>
    <row r="119" spans="1:12" x14ac:dyDescent="0.3">
      <c r="A119" s="1">
        <v>46036</v>
      </c>
      <c r="B119" t="s">
        <v>9</v>
      </c>
      <c r="C119" t="s">
        <v>10</v>
      </c>
      <c r="D119" t="s">
        <v>18</v>
      </c>
      <c r="E119">
        <v>930</v>
      </c>
      <c r="F119">
        <v>13</v>
      </c>
      <c r="G119">
        <v>13</v>
      </c>
      <c r="H119">
        <v>917</v>
      </c>
      <c r="I119">
        <v>1.397849462365591</v>
      </c>
      <c r="J119">
        <v>98.602150537634401</v>
      </c>
      <c r="K119" t="str">
        <f>_xlfn.XLOOKUP(tblProduction[[#This Row],[Product]],tblProducts[Product],tblProducts[Category],"Not Found")</f>
        <v>Assembly</v>
      </c>
      <c r="L119">
        <f>_xlfn.XLOOKUP(tblProduction[[#This Row],[Product]],tblProducts[Product],tblProducts[Target_Units],"Not Found")</f>
        <v>900</v>
      </c>
    </row>
    <row r="120" spans="1:12" x14ac:dyDescent="0.3">
      <c r="A120" s="1">
        <v>46036</v>
      </c>
      <c r="B120" t="s">
        <v>9</v>
      </c>
      <c r="C120" t="s">
        <v>12</v>
      </c>
      <c r="D120" t="s">
        <v>11</v>
      </c>
      <c r="E120">
        <v>885</v>
      </c>
      <c r="F120">
        <v>13</v>
      </c>
      <c r="G120">
        <v>53</v>
      </c>
      <c r="H120">
        <v>872</v>
      </c>
      <c r="I120">
        <v>1.4689265536723159</v>
      </c>
      <c r="J120">
        <v>98.531073446327682</v>
      </c>
      <c r="K120" t="str">
        <f>_xlfn.XLOOKUP(tblProduction[[#This Row],[Product]],tblProducts[Product],tblProducts[Category],"Not Found")</f>
        <v>Precision</v>
      </c>
      <c r="L120">
        <f>_xlfn.XLOOKUP(tblProduction[[#This Row],[Product]],tblProducts[Product],tblProducts[Target_Units],"Not Found")</f>
        <v>950</v>
      </c>
    </row>
    <row r="121" spans="1:12" x14ac:dyDescent="0.3">
      <c r="A121" s="1">
        <v>46036</v>
      </c>
      <c r="B121" t="s">
        <v>9</v>
      </c>
      <c r="C121" t="s">
        <v>13</v>
      </c>
      <c r="D121" t="s">
        <v>16</v>
      </c>
      <c r="E121">
        <v>878</v>
      </c>
      <c r="F121">
        <v>21</v>
      </c>
      <c r="G121">
        <v>65</v>
      </c>
      <c r="H121">
        <v>857</v>
      </c>
      <c r="I121">
        <v>2.391799544419134</v>
      </c>
      <c r="J121">
        <v>97.608200455580857</v>
      </c>
      <c r="K121" t="str">
        <f>_xlfn.XLOOKUP(tblProduction[[#This Row],[Product]],tblProducts[Product],tblProducts[Category],"Not Found")</f>
        <v>Standard</v>
      </c>
      <c r="L121">
        <f>_xlfn.XLOOKUP(tblProduction[[#This Row],[Product]],tblProducts[Product],tblProducts[Target_Units],"Not Found")</f>
        <v>1000</v>
      </c>
    </row>
    <row r="122" spans="1:12" x14ac:dyDescent="0.3">
      <c r="A122" s="1">
        <v>46036</v>
      </c>
      <c r="B122" t="s">
        <v>15</v>
      </c>
      <c r="C122" t="s">
        <v>10</v>
      </c>
      <c r="D122" t="s">
        <v>14</v>
      </c>
      <c r="E122">
        <v>724</v>
      </c>
      <c r="F122">
        <v>23</v>
      </c>
      <c r="G122">
        <v>85</v>
      </c>
      <c r="H122">
        <v>701</v>
      </c>
      <c r="I122">
        <v>3.1767955801104981</v>
      </c>
      <c r="J122">
        <v>96.823204419889507</v>
      </c>
      <c r="K122" t="str">
        <f>_xlfn.XLOOKUP(tblProduction[[#This Row],[Product]],tblProducts[Product],tblProducts[Category],"Not Found")</f>
        <v>Assembly</v>
      </c>
      <c r="L122">
        <f>_xlfn.XLOOKUP(tblProduction[[#This Row],[Product]],tblProducts[Product],tblProducts[Target_Units],"Not Found")</f>
        <v>850</v>
      </c>
    </row>
    <row r="123" spans="1:12" x14ac:dyDescent="0.3">
      <c r="A123" s="1">
        <v>46036</v>
      </c>
      <c r="B123" t="s">
        <v>15</v>
      </c>
      <c r="C123" t="s">
        <v>12</v>
      </c>
      <c r="D123" t="s">
        <v>11</v>
      </c>
      <c r="E123">
        <v>900</v>
      </c>
      <c r="F123">
        <v>22</v>
      </c>
      <c r="G123">
        <v>16</v>
      </c>
      <c r="H123">
        <v>878</v>
      </c>
      <c r="I123">
        <v>2.4444444444444451</v>
      </c>
      <c r="J123">
        <v>97.555555555555557</v>
      </c>
      <c r="K123" t="str">
        <f>_xlfn.XLOOKUP(tblProduction[[#This Row],[Product]],tblProducts[Product],tblProducts[Category],"Not Found")</f>
        <v>Precision</v>
      </c>
      <c r="L123">
        <f>_xlfn.XLOOKUP(tblProduction[[#This Row],[Product]],tblProducts[Product],tblProducts[Target_Units],"Not Found")</f>
        <v>950</v>
      </c>
    </row>
    <row r="124" spans="1:12" x14ac:dyDescent="0.3">
      <c r="A124" s="1">
        <v>46036</v>
      </c>
      <c r="B124" t="s">
        <v>15</v>
      </c>
      <c r="C124" t="s">
        <v>13</v>
      </c>
      <c r="D124" t="s">
        <v>14</v>
      </c>
      <c r="E124">
        <v>721</v>
      </c>
      <c r="F124">
        <v>31</v>
      </c>
      <c r="G124">
        <v>3</v>
      </c>
      <c r="H124">
        <v>690</v>
      </c>
      <c r="I124">
        <v>4.2995839112343974</v>
      </c>
      <c r="J124">
        <v>95.700416088765607</v>
      </c>
      <c r="K124" t="str">
        <f>_xlfn.XLOOKUP(tblProduction[[#This Row],[Product]],tblProducts[Product],tblProducts[Category],"Not Found")</f>
        <v>Assembly</v>
      </c>
      <c r="L124">
        <f>_xlfn.XLOOKUP(tblProduction[[#This Row],[Product]],tblProducts[Product],tblProducts[Target_Units],"Not Found")</f>
        <v>850</v>
      </c>
    </row>
    <row r="125" spans="1:12" x14ac:dyDescent="0.3">
      <c r="A125" s="1">
        <v>46036</v>
      </c>
      <c r="B125" t="s">
        <v>17</v>
      </c>
      <c r="C125" t="s">
        <v>10</v>
      </c>
      <c r="D125" t="s">
        <v>11</v>
      </c>
      <c r="E125">
        <v>719</v>
      </c>
      <c r="F125">
        <v>25</v>
      </c>
      <c r="G125">
        <v>87</v>
      </c>
      <c r="H125">
        <v>694</v>
      </c>
      <c r="I125">
        <v>3.4770514603616132</v>
      </c>
      <c r="J125">
        <v>96.522948539638392</v>
      </c>
      <c r="K125" t="str">
        <f>_xlfn.XLOOKUP(tblProduction[[#This Row],[Product]],tblProducts[Product],tblProducts[Category],"Not Found")</f>
        <v>Precision</v>
      </c>
      <c r="L125">
        <f>_xlfn.XLOOKUP(tblProduction[[#This Row],[Product]],tblProducts[Product],tblProducts[Target_Units],"Not Found")</f>
        <v>950</v>
      </c>
    </row>
    <row r="126" spans="1:12" x14ac:dyDescent="0.3">
      <c r="A126" s="1">
        <v>46036</v>
      </c>
      <c r="B126" t="s">
        <v>17</v>
      </c>
      <c r="C126" t="s">
        <v>12</v>
      </c>
      <c r="D126" t="s">
        <v>18</v>
      </c>
      <c r="E126">
        <v>738</v>
      </c>
      <c r="F126">
        <v>25</v>
      </c>
      <c r="G126">
        <v>25</v>
      </c>
      <c r="H126">
        <v>713</v>
      </c>
      <c r="I126">
        <v>3.3875338753387529</v>
      </c>
      <c r="J126">
        <v>96.612466124661239</v>
      </c>
      <c r="K126" t="str">
        <f>_xlfn.XLOOKUP(tblProduction[[#This Row],[Product]],tblProducts[Product],tblProducts[Category],"Not Found")</f>
        <v>Assembly</v>
      </c>
      <c r="L126">
        <f>_xlfn.XLOOKUP(tblProduction[[#This Row],[Product]],tblProducts[Product],tblProducts[Target_Units],"Not Found")</f>
        <v>900</v>
      </c>
    </row>
    <row r="127" spans="1:12" x14ac:dyDescent="0.3">
      <c r="A127" s="1">
        <v>46036</v>
      </c>
      <c r="B127" t="s">
        <v>17</v>
      </c>
      <c r="C127" t="s">
        <v>13</v>
      </c>
      <c r="D127" t="s">
        <v>14</v>
      </c>
      <c r="E127">
        <v>583</v>
      </c>
      <c r="F127">
        <v>30</v>
      </c>
      <c r="G127">
        <v>75</v>
      </c>
      <c r="H127">
        <v>553</v>
      </c>
      <c r="I127">
        <v>5.1457975986277873</v>
      </c>
      <c r="J127">
        <v>94.854202401372206</v>
      </c>
      <c r="K127" t="str">
        <f>_xlfn.XLOOKUP(tblProduction[[#This Row],[Product]],tblProducts[Product],tblProducts[Category],"Not Found")</f>
        <v>Assembly</v>
      </c>
      <c r="L127">
        <f>_xlfn.XLOOKUP(tblProduction[[#This Row],[Product]],tblProducts[Product],tblProducts[Target_Units],"Not Found")</f>
        <v>850</v>
      </c>
    </row>
    <row r="128" spans="1:12" x14ac:dyDescent="0.3">
      <c r="A128" s="1">
        <v>46037</v>
      </c>
      <c r="B128" t="s">
        <v>9</v>
      </c>
      <c r="C128" t="s">
        <v>10</v>
      </c>
      <c r="D128" t="s">
        <v>11</v>
      </c>
      <c r="E128">
        <v>907</v>
      </c>
      <c r="F128">
        <v>13</v>
      </c>
      <c r="G128">
        <v>79</v>
      </c>
      <c r="H128">
        <v>894</v>
      </c>
      <c r="I128">
        <v>1.4332965821389201</v>
      </c>
      <c r="J128">
        <v>98.566703417861078</v>
      </c>
      <c r="K128" t="str">
        <f>_xlfn.XLOOKUP(tblProduction[[#This Row],[Product]],tblProducts[Product],tblProducts[Category],"Not Found")</f>
        <v>Precision</v>
      </c>
      <c r="L128">
        <f>_xlfn.XLOOKUP(tblProduction[[#This Row],[Product]],tblProducts[Product],tblProducts[Target_Units],"Not Found")</f>
        <v>950</v>
      </c>
    </row>
    <row r="129" spans="1:12" x14ac:dyDescent="0.3">
      <c r="A129" s="1">
        <v>46037</v>
      </c>
      <c r="B129" t="s">
        <v>9</v>
      </c>
      <c r="C129" t="s">
        <v>12</v>
      </c>
      <c r="D129" t="s">
        <v>14</v>
      </c>
      <c r="E129">
        <v>736</v>
      </c>
      <c r="F129">
        <v>16</v>
      </c>
      <c r="G129">
        <v>90</v>
      </c>
      <c r="H129">
        <v>720</v>
      </c>
      <c r="I129">
        <v>2.1739130434782612</v>
      </c>
      <c r="J129">
        <v>97.826086956521735</v>
      </c>
      <c r="K129" t="str">
        <f>_xlfn.XLOOKUP(tblProduction[[#This Row],[Product]],tblProducts[Product],tblProducts[Category],"Not Found")</f>
        <v>Assembly</v>
      </c>
      <c r="L129">
        <f>_xlfn.XLOOKUP(tblProduction[[#This Row],[Product]],tblProducts[Product],tblProducts[Target_Units],"Not Found")</f>
        <v>850</v>
      </c>
    </row>
    <row r="130" spans="1:12" x14ac:dyDescent="0.3">
      <c r="A130" s="1">
        <v>46037</v>
      </c>
      <c r="B130" t="s">
        <v>9</v>
      </c>
      <c r="C130" t="s">
        <v>13</v>
      </c>
      <c r="D130" t="s">
        <v>16</v>
      </c>
      <c r="E130">
        <v>991</v>
      </c>
      <c r="F130">
        <v>24</v>
      </c>
      <c r="G130">
        <v>4</v>
      </c>
      <c r="H130">
        <v>967</v>
      </c>
      <c r="I130">
        <v>2.421796165489404</v>
      </c>
      <c r="J130">
        <v>97.578203834510589</v>
      </c>
      <c r="K130" t="str">
        <f>_xlfn.XLOOKUP(tblProduction[[#This Row],[Product]],tblProducts[Product],tblProducts[Category],"Not Found")</f>
        <v>Standard</v>
      </c>
      <c r="L130">
        <f>_xlfn.XLOOKUP(tblProduction[[#This Row],[Product]],tblProducts[Product],tblProducts[Target_Units],"Not Found")</f>
        <v>1000</v>
      </c>
    </row>
    <row r="131" spans="1:12" x14ac:dyDescent="0.3">
      <c r="A131" s="1">
        <v>46037</v>
      </c>
      <c r="B131" t="s">
        <v>15</v>
      </c>
      <c r="C131" t="s">
        <v>10</v>
      </c>
      <c r="D131" t="s">
        <v>18</v>
      </c>
      <c r="E131">
        <v>728</v>
      </c>
      <c r="F131">
        <v>18</v>
      </c>
      <c r="G131">
        <v>90</v>
      </c>
      <c r="H131">
        <v>710</v>
      </c>
      <c r="I131">
        <v>2.4725274725274731</v>
      </c>
      <c r="J131">
        <v>97.527472527472526</v>
      </c>
      <c r="K131" t="str">
        <f>_xlfn.XLOOKUP(tblProduction[[#This Row],[Product]],tblProducts[Product],tblProducts[Category],"Not Found")</f>
        <v>Assembly</v>
      </c>
      <c r="L131">
        <f>_xlfn.XLOOKUP(tblProduction[[#This Row],[Product]],tblProducts[Product],tblProducts[Target_Units],"Not Found")</f>
        <v>900</v>
      </c>
    </row>
    <row r="132" spans="1:12" x14ac:dyDescent="0.3">
      <c r="A132" s="1">
        <v>46037</v>
      </c>
      <c r="B132" t="s">
        <v>15</v>
      </c>
      <c r="C132" t="s">
        <v>12</v>
      </c>
      <c r="D132" t="s">
        <v>18</v>
      </c>
      <c r="E132">
        <v>795</v>
      </c>
      <c r="F132">
        <v>19</v>
      </c>
      <c r="G132">
        <v>14</v>
      </c>
      <c r="H132">
        <v>776</v>
      </c>
      <c r="I132">
        <v>2.3899371069182389</v>
      </c>
      <c r="J132">
        <v>97.610062893081761</v>
      </c>
      <c r="K132" t="str">
        <f>_xlfn.XLOOKUP(tblProduction[[#This Row],[Product]],tblProducts[Product],tblProducts[Category],"Not Found")</f>
        <v>Assembly</v>
      </c>
      <c r="L132">
        <f>_xlfn.XLOOKUP(tblProduction[[#This Row],[Product]],tblProducts[Product],tblProducts[Target_Units],"Not Found")</f>
        <v>900</v>
      </c>
    </row>
    <row r="133" spans="1:12" x14ac:dyDescent="0.3">
      <c r="A133" s="1">
        <v>46037</v>
      </c>
      <c r="B133" t="s">
        <v>15</v>
      </c>
      <c r="C133" t="s">
        <v>13</v>
      </c>
      <c r="D133" t="s">
        <v>16</v>
      </c>
      <c r="E133">
        <v>783</v>
      </c>
      <c r="F133">
        <v>27</v>
      </c>
      <c r="G133">
        <v>90</v>
      </c>
      <c r="H133">
        <v>756</v>
      </c>
      <c r="I133">
        <v>3.4482758620689649</v>
      </c>
      <c r="J133">
        <v>96.551724137931032</v>
      </c>
      <c r="K133" t="str">
        <f>_xlfn.XLOOKUP(tblProduction[[#This Row],[Product]],tblProducts[Product],tblProducts[Category],"Not Found")</f>
        <v>Standard</v>
      </c>
      <c r="L133">
        <f>_xlfn.XLOOKUP(tblProduction[[#This Row],[Product]],tblProducts[Product],tblProducts[Target_Units],"Not Found")</f>
        <v>1000</v>
      </c>
    </row>
    <row r="134" spans="1:12" x14ac:dyDescent="0.3">
      <c r="A134" s="1">
        <v>46037</v>
      </c>
      <c r="B134" t="s">
        <v>17</v>
      </c>
      <c r="C134" t="s">
        <v>10</v>
      </c>
      <c r="D134" t="s">
        <v>18</v>
      </c>
      <c r="E134">
        <v>743</v>
      </c>
      <c r="F134">
        <v>26</v>
      </c>
      <c r="G134">
        <v>22</v>
      </c>
      <c r="H134">
        <v>717</v>
      </c>
      <c r="I134">
        <v>3.4993270524899049</v>
      </c>
      <c r="J134">
        <v>96.500672947510097</v>
      </c>
      <c r="K134" t="str">
        <f>_xlfn.XLOOKUP(tblProduction[[#This Row],[Product]],tblProducts[Product],tblProducts[Category],"Not Found")</f>
        <v>Assembly</v>
      </c>
      <c r="L134">
        <f>_xlfn.XLOOKUP(tblProduction[[#This Row],[Product]],tblProducts[Product],tblProducts[Target_Units],"Not Found")</f>
        <v>900</v>
      </c>
    </row>
    <row r="135" spans="1:12" x14ac:dyDescent="0.3">
      <c r="A135" s="1">
        <v>46037</v>
      </c>
      <c r="B135" t="s">
        <v>17</v>
      </c>
      <c r="C135" t="s">
        <v>12</v>
      </c>
      <c r="D135" t="s">
        <v>14</v>
      </c>
      <c r="E135">
        <v>635</v>
      </c>
      <c r="F135">
        <v>27</v>
      </c>
      <c r="G135">
        <v>50</v>
      </c>
      <c r="H135">
        <v>608</v>
      </c>
      <c r="I135">
        <v>4.2519685039370074</v>
      </c>
      <c r="J135">
        <v>95.748031496062993</v>
      </c>
      <c r="K135" t="str">
        <f>_xlfn.XLOOKUP(tblProduction[[#This Row],[Product]],tblProducts[Product],tblProducts[Category],"Not Found")</f>
        <v>Assembly</v>
      </c>
      <c r="L135">
        <f>_xlfn.XLOOKUP(tblProduction[[#This Row],[Product]],tblProducts[Product],tblProducts[Target_Units],"Not Found")</f>
        <v>850</v>
      </c>
    </row>
    <row r="136" spans="1:12" x14ac:dyDescent="0.3">
      <c r="A136" s="1">
        <v>46037</v>
      </c>
      <c r="B136" t="s">
        <v>17</v>
      </c>
      <c r="C136" t="s">
        <v>13</v>
      </c>
      <c r="D136" t="s">
        <v>11</v>
      </c>
      <c r="E136">
        <v>645</v>
      </c>
      <c r="F136">
        <v>29</v>
      </c>
      <c r="G136">
        <v>89</v>
      </c>
      <c r="H136">
        <v>616</v>
      </c>
      <c r="I136">
        <v>4.4961240310077519</v>
      </c>
      <c r="J136">
        <v>95.503875968992247</v>
      </c>
      <c r="K136" t="str">
        <f>_xlfn.XLOOKUP(tblProduction[[#This Row],[Product]],tblProducts[Product],tblProducts[Category],"Not Found")</f>
        <v>Precision</v>
      </c>
      <c r="L136">
        <f>_xlfn.XLOOKUP(tblProduction[[#This Row],[Product]],tblProducts[Product],tblProducts[Target_Units],"Not Found")</f>
        <v>950</v>
      </c>
    </row>
    <row r="137" spans="1:12" x14ac:dyDescent="0.3">
      <c r="A137" s="1">
        <v>46038</v>
      </c>
      <c r="B137" t="s">
        <v>9</v>
      </c>
      <c r="C137" t="s">
        <v>10</v>
      </c>
      <c r="D137" t="s">
        <v>14</v>
      </c>
      <c r="E137">
        <v>827</v>
      </c>
      <c r="F137">
        <v>19</v>
      </c>
      <c r="G137">
        <v>72</v>
      </c>
      <c r="H137">
        <v>808</v>
      </c>
      <c r="I137">
        <v>2.2974607013301092</v>
      </c>
      <c r="J137">
        <v>97.70253929866989</v>
      </c>
      <c r="K137" t="str">
        <f>_xlfn.XLOOKUP(tblProduction[[#This Row],[Product]],tblProducts[Product],tblProducts[Category],"Not Found")</f>
        <v>Assembly</v>
      </c>
      <c r="L137">
        <f>_xlfn.XLOOKUP(tblProduction[[#This Row],[Product]],tblProducts[Product],tblProducts[Target_Units],"Not Found")</f>
        <v>850</v>
      </c>
    </row>
    <row r="138" spans="1:12" x14ac:dyDescent="0.3">
      <c r="A138" s="1">
        <v>46038</v>
      </c>
      <c r="B138" t="s">
        <v>9</v>
      </c>
      <c r="C138" t="s">
        <v>12</v>
      </c>
      <c r="D138" t="s">
        <v>18</v>
      </c>
      <c r="E138">
        <v>875</v>
      </c>
      <c r="F138">
        <v>13</v>
      </c>
      <c r="G138">
        <v>36</v>
      </c>
      <c r="H138">
        <v>862</v>
      </c>
      <c r="I138">
        <v>1.485714285714286</v>
      </c>
      <c r="J138">
        <v>98.514285714285705</v>
      </c>
      <c r="K138" t="str">
        <f>_xlfn.XLOOKUP(tblProduction[[#This Row],[Product]],tblProducts[Product],tblProducts[Category],"Not Found")</f>
        <v>Assembly</v>
      </c>
      <c r="L138">
        <f>_xlfn.XLOOKUP(tblProduction[[#This Row],[Product]],tblProducts[Product],tblProducts[Target_Units],"Not Found")</f>
        <v>900</v>
      </c>
    </row>
    <row r="139" spans="1:12" x14ac:dyDescent="0.3">
      <c r="A139" s="1">
        <v>46038</v>
      </c>
      <c r="B139" t="s">
        <v>9</v>
      </c>
      <c r="C139" t="s">
        <v>13</v>
      </c>
      <c r="D139" t="s">
        <v>11</v>
      </c>
      <c r="E139">
        <v>902</v>
      </c>
      <c r="F139">
        <v>22</v>
      </c>
      <c r="G139">
        <v>23</v>
      </c>
      <c r="H139">
        <v>880</v>
      </c>
      <c r="I139">
        <v>2.4390243902439019</v>
      </c>
      <c r="J139">
        <v>97.560975609756099</v>
      </c>
      <c r="K139" t="str">
        <f>_xlfn.XLOOKUP(tblProduction[[#This Row],[Product]],tblProducts[Product],tblProducts[Category],"Not Found")</f>
        <v>Precision</v>
      </c>
      <c r="L139">
        <f>_xlfn.XLOOKUP(tblProduction[[#This Row],[Product]],tblProducts[Product],tblProducts[Target_Units],"Not Found")</f>
        <v>950</v>
      </c>
    </row>
    <row r="140" spans="1:12" x14ac:dyDescent="0.3">
      <c r="A140" s="1">
        <v>46038</v>
      </c>
      <c r="B140" t="s">
        <v>15</v>
      </c>
      <c r="C140" t="s">
        <v>10</v>
      </c>
      <c r="D140" t="s">
        <v>11</v>
      </c>
      <c r="E140">
        <v>937</v>
      </c>
      <c r="F140">
        <v>23</v>
      </c>
      <c r="G140">
        <v>29</v>
      </c>
      <c r="H140">
        <v>914</v>
      </c>
      <c r="I140">
        <v>2.454642475987193</v>
      </c>
      <c r="J140">
        <v>97.545357524012815</v>
      </c>
      <c r="K140" t="str">
        <f>_xlfn.XLOOKUP(tblProduction[[#This Row],[Product]],tblProducts[Product],tblProducts[Category],"Not Found")</f>
        <v>Precision</v>
      </c>
      <c r="L140">
        <f>_xlfn.XLOOKUP(tblProduction[[#This Row],[Product]],tblProducts[Product],tblProducts[Target_Units],"Not Found")</f>
        <v>950</v>
      </c>
    </row>
    <row r="141" spans="1:12" x14ac:dyDescent="0.3">
      <c r="A141" s="1">
        <v>46038</v>
      </c>
      <c r="B141" t="s">
        <v>15</v>
      </c>
      <c r="C141" t="s">
        <v>13</v>
      </c>
      <c r="D141" t="s">
        <v>11</v>
      </c>
      <c r="E141">
        <v>828</v>
      </c>
      <c r="F141">
        <v>28</v>
      </c>
      <c r="G141">
        <v>27</v>
      </c>
      <c r="H141">
        <v>800</v>
      </c>
      <c r="I141">
        <v>3.381642512077295</v>
      </c>
      <c r="J141">
        <v>96.618357487922708</v>
      </c>
      <c r="K141" t="str">
        <f>_xlfn.XLOOKUP(tblProduction[[#This Row],[Product]],tblProducts[Product],tblProducts[Category],"Not Found")</f>
        <v>Precision</v>
      </c>
      <c r="L141">
        <f>_xlfn.XLOOKUP(tblProduction[[#This Row],[Product]],tblProducts[Product],tblProducts[Target_Units],"Not Found")</f>
        <v>950</v>
      </c>
    </row>
    <row r="142" spans="1:12" x14ac:dyDescent="0.3">
      <c r="A142" s="1">
        <v>46038</v>
      </c>
      <c r="B142" t="s">
        <v>17</v>
      </c>
      <c r="C142" t="s">
        <v>10</v>
      </c>
      <c r="D142" t="s">
        <v>16</v>
      </c>
      <c r="E142">
        <v>859</v>
      </c>
      <c r="F142">
        <v>30</v>
      </c>
      <c r="G142">
        <v>2</v>
      </c>
      <c r="H142">
        <v>829</v>
      </c>
      <c r="I142">
        <v>3.49243306169965</v>
      </c>
      <c r="J142">
        <v>96.507566938300343</v>
      </c>
      <c r="K142" t="str">
        <f>_xlfn.XLOOKUP(tblProduction[[#This Row],[Product]],tblProducts[Product],tblProducts[Category],"Not Found")</f>
        <v>Standard</v>
      </c>
      <c r="L142">
        <f>_xlfn.XLOOKUP(tblProduction[[#This Row],[Product]],tblProducts[Product],tblProducts[Target_Units],"Not Found")</f>
        <v>1000</v>
      </c>
    </row>
    <row r="143" spans="1:12" x14ac:dyDescent="0.3">
      <c r="A143" s="1">
        <v>46038</v>
      </c>
      <c r="B143" t="s">
        <v>17</v>
      </c>
      <c r="C143" t="s">
        <v>12</v>
      </c>
      <c r="D143" t="s">
        <v>18</v>
      </c>
      <c r="E143">
        <v>807</v>
      </c>
      <c r="F143">
        <v>28</v>
      </c>
      <c r="G143">
        <v>0</v>
      </c>
      <c r="H143">
        <v>779</v>
      </c>
      <c r="I143">
        <v>3.4696406443618342</v>
      </c>
      <c r="J143">
        <v>96.530359355638168</v>
      </c>
      <c r="K143" t="str">
        <f>_xlfn.XLOOKUP(tblProduction[[#This Row],[Product]],tblProducts[Product],tblProducts[Category],"Not Found")</f>
        <v>Assembly</v>
      </c>
      <c r="L143">
        <f>_xlfn.XLOOKUP(tblProduction[[#This Row],[Product]],tblProducts[Product],tblProducts[Target_Units],"Not Found")</f>
        <v>900</v>
      </c>
    </row>
    <row r="144" spans="1:12" x14ac:dyDescent="0.3">
      <c r="A144" s="1">
        <v>46038</v>
      </c>
      <c r="B144" t="s">
        <v>17</v>
      </c>
      <c r="C144" t="s">
        <v>13</v>
      </c>
      <c r="D144" t="s">
        <v>14</v>
      </c>
      <c r="E144">
        <v>616</v>
      </c>
      <c r="F144">
        <v>32</v>
      </c>
      <c r="G144">
        <v>29</v>
      </c>
      <c r="H144">
        <v>584</v>
      </c>
      <c r="I144">
        <v>5.1948051948051948</v>
      </c>
      <c r="J144">
        <v>94.805194805194802</v>
      </c>
      <c r="K144" t="str">
        <f>_xlfn.XLOOKUP(tblProduction[[#This Row],[Product]],tblProducts[Product],tblProducts[Category],"Not Found")</f>
        <v>Assembly</v>
      </c>
      <c r="L144">
        <f>_xlfn.XLOOKUP(tblProduction[[#This Row],[Product]],tblProducts[Product],tblProducts[Target_Units],"Not Found")</f>
        <v>850</v>
      </c>
    </row>
    <row r="145" spans="1:12" x14ac:dyDescent="0.3">
      <c r="A145" s="1">
        <v>46039</v>
      </c>
      <c r="B145" t="s">
        <v>9</v>
      </c>
      <c r="C145" t="s">
        <v>10</v>
      </c>
      <c r="D145" t="s">
        <v>18</v>
      </c>
      <c r="E145">
        <v>911</v>
      </c>
      <c r="F145">
        <v>13</v>
      </c>
      <c r="G145">
        <v>54</v>
      </c>
      <c r="H145">
        <v>898</v>
      </c>
      <c r="I145">
        <v>1.4270032930845229</v>
      </c>
      <c r="J145">
        <v>98.572996706915475</v>
      </c>
      <c r="K145" t="str">
        <f>_xlfn.XLOOKUP(tblProduction[[#This Row],[Product]],tblProducts[Product],tblProducts[Category],"Not Found")</f>
        <v>Assembly</v>
      </c>
      <c r="L145">
        <f>_xlfn.XLOOKUP(tblProduction[[#This Row],[Product]],tblProducts[Product],tblProducts[Target_Units],"Not Found")</f>
        <v>900</v>
      </c>
    </row>
    <row r="146" spans="1:12" x14ac:dyDescent="0.3">
      <c r="A146" s="1">
        <v>46039</v>
      </c>
      <c r="B146" t="s">
        <v>9</v>
      </c>
      <c r="C146" t="s">
        <v>12</v>
      </c>
      <c r="D146" t="s">
        <v>11</v>
      </c>
      <c r="E146">
        <v>906</v>
      </c>
      <c r="F146">
        <v>13</v>
      </c>
      <c r="G146">
        <v>77</v>
      </c>
      <c r="H146">
        <v>893</v>
      </c>
      <c r="I146">
        <v>1.434878587196468</v>
      </c>
      <c r="J146">
        <v>98.565121412803535</v>
      </c>
      <c r="K146" t="str">
        <f>_xlfn.XLOOKUP(tblProduction[[#This Row],[Product]],tblProducts[Product],tblProducts[Category],"Not Found")</f>
        <v>Precision</v>
      </c>
      <c r="L146">
        <f>_xlfn.XLOOKUP(tblProduction[[#This Row],[Product]],tblProducts[Product],tblProducts[Target_Units],"Not Found")</f>
        <v>950</v>
      </c>
    </row>
    <row r="147" spans="1:12" x14ac:dyDescent="0.3">
      <c r="A147" s="1">
        <v>46039</v>
      </c>
      <c r="B147" t="s">
        <v>9</v>
      </c>
      <c r="C147" t="s">
        <v>13</v>
      </c>
      <c r="D147" t="s">
        <v>18</v>
      </c>
      <c r="E147">
        <v>870</v>
      </c>
      <c r="F147">
        <v>21</v>
      </c>
      <c r="G147">
        <v>24</v>
      </c>
      <c r="H147">
        <v>849</v>
      </c>
      <c r="I147">
        <v>2.4137931034482758</v>
      </c>
      <c r="J147">
        <v>97.586206896551715</v>
      </c>
      <c r="K147" t="str">
        <f>_xlfn.XLOOKUP(tblProduction[[#This Row],[Product]],tblProducts[Product],tblProducts[Category],"Not Found")</f>
        <v>Assembly</v>
      </c>
      <c r="L147">
        <f>_xlfn.XLOOKUP(tblProduction[[#This Row],[Product]],tblProducts[Product],tblProducts[Target_Units],"Not Found")</f>
        <v>900</v>
      </c>
    </row>
    <row r="148" spans="1:12" x14ac:dyDescent="0.3">
      <c r="A148" s="1">
        <v>46039</v>
      </c>
      <c r="B148" t="s">
        <v>15</v>
      </c>
      <c r="C148" t="s">
        <v>10</v>
      </c>
      <c r="D148" t="s">
        <v>18</v>
      </c>
      <c r="E148">
        <v>835</v>
      </c>
      <c r="F148">
        <v>20</v>
      </c>
      <c r="G148">
        <v>48</v>
      </c>
      <c r="H148">
        <v>815</v>
      </c>
      <c r="I148">
        <v>2.395209580838324</v>
      </c>
      <c r="J148">
        <v>97.604790419161674</v>
      </c>
      <c r="K148" t="str">
        <f>_xlfn.XLOOKUP(tblProduction[[#This Row],[Product]],tblProducts[Product],tblProducts[Category],"Not Found")</f>
        <v>Assembly</v>
      </c>
      <c r="L148">
        <f>_xlfn.XLOOKUP(tblProduction[[#This Row],[Product]],tblProducts[Product],tblProducts[Target_Units],"Not Found")</f>
        <v>900</v>
      </c>
    </row>
    <row r="149" spans="1:12" x14ac:dyDescent="0.3">
      <c r="A149" s="1">
        <v>46039</v>
      </c>
      <c r="B149" t="s">
        <v>9</v>
      </c>
      <c r="C149" t="s">
        <v>12</v>
      </c>
      <c r="D149" t="s">
        <v>18</v>
      </c>
      <c r="E149">
        <v>794</v>
      </c>
      <c r="F149">
        <v>19</v>
      </c>
      <c r="G149">
        <v>21</v>
      </c>
      <c r="H149">
        <v>775</v>
      </c>
      <c r="I149">
        <v>2.3929471032745591</v>
      </c>
      <c r="J149">
        <v>97.607052896725449</v>
      </c>
      <c r="K149" t="str">
        <f>_xlfn.XLOOKUP(tblProduction[[#This Row],[Product]],tblProducts[Product],tblProducts[Category],"Not Found")</f>
        <v>Assembly</v>
      </c>
      <c r="L149">
        <f>_xlfn.XLOOKUP(tblProduction[[#This Row],[Product]],tblProducts[Product],tblProducts[Target_Units],"Not Found")</f>
        <v>900</v>
      </c>
    </row>
    <row r="150" spans="1:12" x14ac:dyDescent="0.3">
      <c r="A150" s="1">
        <v>46039</v>
      </c>
      <c r="B150" t="s">
        <v>15</v>
      </c>
      <c r="C150" t="s">
        <v>13</v>
      </c>
      <c r="D150" t="s">
        <v>16</v>
      </c>
      <c r="E150">
        <v>737</v>
      </c>
      <c r="F150">
        <v>25</v>
      </c>
      <c r="G150">
        <v>72</v>
      </c>
      <c r="H150">
        <v>712</v>
      </c>
      <c r="I150">
        <v>3.3921302578018988</v>
      </c>
      <c r="J150">
        <v>96.607869742198105</v>
      </c>
      <c r="K150" t="str">
        <f>_xlfn.XLOOKUP(tblProduction[[#This Row],[Product]],tblProducts[Product],tblProducts[Category],"Not Found")</f>
        <v>Standard</v>
      </c>
      <c r="L150">
        <f>_xlfn.XLOOKUP(tblProduction[[#This Row],[Product]],tblProducts[Product],tblProducts[Target_Units],"Not Found")</f>
        <v>1000</v>
      </c>
    </row>
    <row r="151" spans="1:12" x14ac:dyDescent="0.3">
      <c r="A151" s="1">
        <v>46039</v>
      </c>
      <c r="B151" t="s">
        <v>17</v>
      </c>
      <c r="C151" t="s">
        <v>10</v>
      </c>
      <c r="D151" t="s">
        <v>11</v>
      </c>
      <c r="E151">
        <v>821</v>
      </c>
      <c r="F151">
        <v>28</v>
      </c>
      <c r="G151">
        <v>48</v>
      </c>
      <c r="H151">
        <v>793</v>
      </c>
      <c r="I151">
        <v>3.4104750304506699</v>
      </c>
      <c r="J151">
        <v>96.589524969549331</v>
      </c>
      <c r="K151" t="str">
        <f>_xlfn.XLOOKUP(tblProduction[[#This Row],[Product]],tblProducts[Product],tblProducts[Category],"Not Found")</f>
        <v>Precision</v>
      </c>
      <c r="L151">
        <f>_xlfn.XLOOKUP(tblProduction[[#This Row],[Product]],tblProducts[Product],tblProducts[Target_Units],"Not Found")</f>
        <v>950</v>
      </c>
    </row>
    <row r="152" spans="1:12" x14ac:dyDescent="0.3">
      <c r="A152" s="1">
        <v>46039</v>
      </c>
      <c r="B152" t="s">
        <v>17</v>
      </c>
      <c r="C152" t="s">
        <v>12</v>
      </c>
      <c r="D152" t="s">
        <v>14</v>
      </c>
      <c r="E152">
        <v>624</v>
      </c>
      <c r="F152">
        <v>26</v>
      </c>
      <c r="G152">
        <v>84</v>
      </c>
      <c r="H152">
        <v>598</v>
      </c>
      <c r="I152">
        <v>4.1666666666666661</v>
      </c>
      <c r="J152">
        <v>95.833333333333343</v>
      </c>
      <c r="K152" t="str">
        <f>_xlfn.XLOOKUP(tblProduction[[#This Row],[Product]],tblProducts[Product],tblProducts[Category],"Not Found")</f>
        <v>Assembly</v>
      </c>
      <c r="L152">
        <f>_xlfn.XLOOKUP(tblProduction[[#This Row],[Product]],tblProducts[Product],tblProducts[Target_Units],"Not Found")</f>
        <v>850</v>
      </c>
    </row>
    <row r="153" spans="1:12" x14ac:dyDescent="0.3">
      <c r="A153" s="1">
        <v>46039</v>
      </c>
      <c r="B153" t="s">
        <v>17</v>
      </c>
      <c r="C153" t="s">
        <v>13</v>
      </c>
      <c r="D153" t="s">
        <v>11</v>
      </c>
      <c r="E153">
        <v>683</v>
      </c>
      <c r="F153">
        <v>30</v>
      </c>
      <c r="G153">
        <v>43</v>
      </c>
      <c r="H153">
        <v>653</v>
      </c>
      <c r="I153">
        <v>4.3923865300146412</v>
      </c>
      <c r="J153">
        <v>95.607613469985367</v>
      </c>
      <c r="K153" t="str">
        <f>_xlfn.XLOOKUP(tblProduction[[#This Row],[Product]],tblProducts[Product],tblProducts[Category],"Not Found")</f>
        <v>Precision</v>
      </c>
      <c r="L153">
        <f>_xlfn.XLOOKUP(tblProduction[[#This Row],[Product]],tblProducts[Product],tblProducts[Target_Units],"Not Found")</f>
        <v>950</v>
      </c>
    </row>
    <row r="154" spans="1:12" x14ac:dyDescent="0.3">
      <c r="A154" s="1">
        <v>46040</v>
      </c>
      <c r="B154" t="s">
        <v>9</v>
      </c>
      <c r="C154" t="s">
        <v>10</v>
      </c>
      <c r="D154" t="s">
        <v>14</v>
      </c>
      <c r="E154">
        <v>957</v>
      </c>
      <c r="F154">
        <v>22</v>
      </c>
      <c r="G154">
        <v>7</v>
      </c>
      <c r="H154">
        <v>935</v>
      </c>
      <c r="I154">
        <v>2.298850574712644</v>
      </c>
      <c r="J154">
        <v>97.701149425287355</v>
      </c>
      <c r="K154" t="str">
        <f>_xlfn.XLOOKUP(tblProduction[[#This Row],[Product]],tblProducts[Product],tblProducts[Category],"Not Found")</f>
        <v>Assembly</v>
      </c>
      <c r="L154">
        <f>_xlfn.XLOOKUP(tblProduction[[#This Row],[Product]],tblProducts[Product],tblProducts[Target_Units],"Not Found")</f>
        <v>850</v>
      </c>
    </row>
    <row r="155" spans="1:12" x14ac:dyDescent="0.3">
      <c r="A155" s="1">
        <v>46040</v>
      </c>
      <c r="B155" t="s">
        <v>9</v>
      </c>
      <c r="C155" t="s">
        <v>12</v>
      </c>
      <c r="D155" t="s">
        <v>16</v>
      </c>
      <c r="E155">
        <v>995</v>
      </c>
      <c r="F155">
        <v>14</v>
      </c>
      <c r="G155">
        <v>26</v>
      </c>
      <c r="H155">
        <v>981</v>
      </c>
      <c r="I155">
        <v>1.4070351758793971</v>
      </c>
      <c r="J155">
        <v>98.5929648241206</v>
      </c>
      <c r="K155" t="str">
        <f>_xlfn.XLOOKUP(tblProduction[[#This Row],[Product]],tblProducts[Product],tblProducts[Category],"Not Found")</f>
        <v>Standard</v>
      </c>
      <c r="L155">
        <f>_xlfn.XLOOKUP(tblProduction[[#This Row],[Product]],tblProducts[Product],tblProducts[Target_Units],"Not Found")</f>
        <v>1000</v>
      </c>
    </row>
    <row r="156" spans="1:12" x14ac:dyDescent="0.3">
      <c r="A156" s="1">
        <v>46040</v>
      </c>
      <c r="B156" t="s">
        <v>9</v>
      </c>
      <c r="C156" t="s">
        <v>13</v>
      </c>
      <c r="D156" t="s">
        <v>11</v>
      </c>
      <c r="E156">
        <v>886</v>
      </c>
      <c r="F156">
        <v>22</v>
      </c>
      <c r="G156">
        <v>44</v>
      </c>
      <c r="H156">
        <v>864</v>
      </c>
      <c r="I156">
        <v>2.483069977426636</v>
      </c>
      <c r="J156">
        <v>97.516930022573362</v>
      </c>
      <c r="K156" t="str">
        <f>_xlfn.XLOOKUP(tblProduction[[#This Row],[Product]],tblProducts[Product],tblProducts[Category],"Not Found")</f>
        <v>Precision</v>
      </c>
      <c r="L156">
        <f>_xlfn.XLOOKUP(tblProduction[[#This Row],[Product]],tblProducts[Product],tblProducts[Target_Units],"Not Found")</f>
        <v>950</v>
      </c>
    </row>
    <row r="157" spans="1:12" x14ac:dyDescent="0.3">
      <c r="A157" s="1">
        <v>46040</v>
      </c>
      <c r="B157" t="s">
        <v>15</v>
      </c>
      <c r="C157" t="s">
        <v>10</v>
      </c>
      <c r="D157" t="s">
        <v>11</v>
      </c>
      <c r="E157">
        <v>897</v>
      </c>
      <c r="F157">
        <v>22</v>
      </c>
      <c r="G157">
        <v>8</v>
      </c>
      <c r="H157">
        <v>875</v>
      </c>
      <c r="I157">
        <v>2.4526198439241922</v>
      </c>
      <c r="J157">
        <v>97.547380156075818</v>
      </c>
      <c r="K157" t="str">
        <f>_xlfn.XLOOKUP(tblProduction[[#This Row],[Product]],tblProducts[Product],tblProducts[Category],"Not Found")</f>
        <v>Precision</v>
      </c>
      <c r="L157">
        <f>_xlfn.XLOOKUP(tblProduction[[#This Row],[Product]],tblProducts[Product],tblProducts[Target_Units],"Not Found")</f>
        <v>950</v>
      </c>
    </row>
    <row r="158" spans="1:12" x14ac:dyDescent="0.3">
      <c r="A158" s="1">
        <v>46040</v>
      </c>
      <c r="B158" t="s">
        <v>15</v>
      </c>
      <c r="C158" t="s">
        <v>12</v>
      </c>
      <c r="D158" t="s">
        <v>11</v>
      </c>
      <c r="E158">
        <v>869</v>
      </c>
      <c r="F158">
        <v>21</v>
      </c>
      <c r="G158">
        <v>27</v>
      </c>
      <c r="H158">
        <v>848</v>
      </c>
      <c r="I158">
        <v>2.416570771001151</v>
      </c>
      <c r="J158">
        <v>97.583429228998853</v>
      </c>
      <c r="K158" t="str">
        <f>_xlfn.XLOOKUP(tblProduction[[#This Row],[Product]],tblProducts[Product],tblProducts[Category],"Not Found")</f>
        <v>Precision</v>
      </c>
      <c r="L158">
        <f>_xlfn.XLOOKUP(tblProduction[[#This Row],[Product]],tblProducts[Product],tblProducts[Target_Units],"Not Found")</f>
        <v>950</v>
      </c>
    </row>
    <row r="159" spans="1:12" x14ac:dyDescent="0.3">
      <c r="A159" s="1">
        <v>46040</v>
      </c>
      <c r="B159" t="s">
        <v>15</v>
      </c>
      <c r="C159" t="s">
        <v>13</v>
      </c>
      <c r="D159" t="s">
        <v>18</v>
      </c>
      <c r="E159">
        <v>744</v>
      </c>
      <c r="F159">
        <v>26</v>
      </c>
      <c r="G159">
        <v>46</v>
      </c>
      <c r="H159">
        <v>718</v>
      </c>
      <c r="I159">
        <v>3.4946236559139781</v>
      </c>
      <c r="J159">
        <v>96.505376344086031</v>
      </c>
      <c r="K159" t="str">
        <f>_xlfn.XLOOKUP(tblProduction[[#This Row],[Product]],tblProducts[Product],tblProducts[Category],"Not Found")</f>
        <v>Assembly</v>
      </c>
      <c r="L159">
        <f>_xlfn.XLOOKUP(tblProduction[[#This Row],[Product]],tblProducts[Product],tblProducts[Target_Units],"Not Found")</f>
        <v>900</v>
      </c>
    </row>
    <row r="160" spans="1:12" x14ac:dyDescent="0.3">
      <c r="A160" s="1">
        <v>46040</v>
      </c>
      <c r="B160" t="s">
        <v>17</v>
      </c>
      <c r="C160" t="s">
        <v>10</v>
      </c>
      <c r="D160" t="s">
        <v>11</v>
      </c>
      <c r="E160">
        <v>731</v>
      </c>
      <c r="F160">
        <v>25</v>
      </c>
      <c r="G160">
        <v>88</v>
      </c>
      <c r="H160">
        <v>706</v>
      </c>
      <c r="I160">
        <v>3.4199726402188779</v>
      </c>
      <c r="J160">
        <v>96.580027359781113</v>
      </c>
      <c r="K160" t="str">
        <f>_xlfn.XLOOKUP(tblProduction[[#This Row],[Product]],tblProducts[Product],tblProducts[Category],"Not Found")</f>
        <v>Precision</v>
      </c>
      <c r="L160">
        <f>_xlfn.XLOOKUP(tblProduction[[#This Row],[Product]],tblProducts[Product],tblProducts[Target_Units],"Not Found")</f>
        <v>950</v>
      </c>
    </row>
    <row r="161" spans="1:12" x14ac:dyDescent="0.3">
      <c r="A161" s="1">
        <v>46040</v>
      </c>
      <c r="B161" t="s">
        <v>17</v>
      </c>
      <c r="C161" t="s">
        <v>12</v>
      </c>
      <c r="D161" t="s">
        <v>16</v>
      </c>
      <c r="E161">
        <v>829</v>
      </c>
      <c r="F161">
        <v>29</v>
      </c>
      <c r="G161">
        <v>22</v>
      </c>
      <c r="H161">
        <v>800</v>
      </c>
      <c r="I161">
        <v>3.4981905910735831</v>
      </c>
      <c r="J161">
        <v>96.50180940892642</v>
      </c>
      <c r="K161" t="str">
        <f>_xlfn.XLOOKUP(tblProduction[[#This Row],[Product]],tblProducts[Product],tblProducts[Category],"Not Found")</f>
        <v>Standard</v>
      </c>
      <c r="L161">
        <f>_xlfn.XLOOKUP(tblProduction[[#This Row],[Product]],tblProducts[Product],tblProducts[Target_Units],"Not Found")</f>
        <v>1000</v>
      </c>
    </row>
    <row r="162" spans="1:12" x14ac:dyDescent="0.3">
      <c r="A162" s="1">
        <v>46041</v>
      </c>
      <c r="B162" t="s">
        <v>9</v>
      </c>
      <c r="C162" t="s">
        <v>10</v>
      </c>
      <c r="D162" t="s">
        <v>14</v>
      </c>
      <c r="E162">
        <v>891</v>
      </c>
      <c r="F162">
        <v>20</v>
      </c>
      <c r="G162">
        <v>46</v>
      </c>
      <c r="H162">
        <v>871</v>
      </c>
      <c r="I162">
        <v>2.244668911335578</v>
      </c>
      <c r="J162">
        <v>97.75533108866442</v>
      </c>
      <c r="K162" t="str">
        <f>_xlfn.XLOOKUP(tblProduction[[#This Row],[Product]],tblProducts[Product],tblProducts[Category],"Not Found")</f>
        <v>Assembly</v>
      </c>
      <c r="L162">
        <f>_xlfn.XLOOKUP(tblProduction[[#This Row],[Product]],tblProducts[Product],tblProducts[Target_Units],"Not Found")</f>
        <v>850</v>
      </c>
    </row>
    <row r="163" spans="1:12" x14ac:dyDescent="0.3">
      <c r="A163" s="1">
        <v>46041</v>
      </c>
      <c r="B163" t="s">
        <v>9</v>
      </c>
      <c r="C163" t="s">
        <v>12</v>
      </c>
      <c r="D163" t="s">
        <v>11</v>
      </c>
      <c r="E163">
        <v>1003</v>
      </c>
      <c r="F163">
        <v>15</v>
      </c>
      <c r="G163">
        <v>8</v>
      </c>
      <c r="H163">
        <v>988</v>
      </c>
      <c r="I163">
        <v>1.495513459621137</v>
      </c>
      <c r="J163">
        <v>98.504486540378863</v>
      </c>
      <c r="K163" t="str">
        <f>_xlfn.XLOOKUP(tblProduction[[#This Row],[Product]],tblProducts[Product],tblProducts[Category],"Not Found")</f>
        <v>Precision</v>
      </c>
      <c r="L163">
        <f>_xlfn.XLOOKUP(tblProduction[[#This Row],[Product]],tblProducts[Product],tblProducts[Target_Units],"Not Found")</f>
        <v>950</v>
      </c>
    </row>
    <row r="164" spans="1:12" x14ac:dyDescent="0.3">
      <c r="A164" s="1">
        <v>46041</v>
      </c>
      <c r="B164" t="s">
        <v>9</v>
      </c>
      <c r="C164" t="s">
        <v>13</v>
      </c>
      <c r="D164" t="s">
        <v>14</v>
      </c>
      <c r="E164">
        <v>712</v>
      </c>
      <c r="F164">
        <v>23</v>
      </c>
      <c r="G164">
        <v>73</v>
      </c>
      <c r="H164">
        <v>689</v>
      </c>
      <c r="I164">
        <v>3.2303370786516861</v>
      </c>
      <c r="J164">
        <v>96.769662921348313</v>
      </c>
      <c r="K164" t="str">
        <f>_xlfn.XLOOKUP(tblProduction[[#This Row],[Product]],tblProducts[Product],tblProducts[Category],"Not Found")</f>
        <v>Assembly</v>
      </c>
      <c r="L164">
        <f>_xlfn.XLOOKUP(tblProduction[[#This Row],[Product]],tblProducts[Product],tblProducts[Target_Units],"Not Found")</f>
        <v>850</v>
      </c>
    </row>
    <row r="165" spans="1:12" x14ac:dyDescent="0.3">
      <c r="A165" s="1">
        <v>46041</v>
      </c>
      <c r="B165" t="s">
        <v>15</v>
      </c>
      <c r="C165" t="s">
        <v>10</v>
      </c>
      <c r="D165" t="s">
        <v>16</v>
      </c>
      <c r="E165">
        <v>934</v>
      </c>
      <c r="F165">
        <v>23</v>
      </c>
      <c r="G165">
        <v>13</v>
      </c>
      <c r="H165">
        <v>911</v>
      </c>
      <c r="I165">
        <v>2.462526766595289</v>
      </c>
      <c r="J165">
        <v>97.537473233404711</v>
      </c>
      <c r="K165" t="str">
        <f>_xlfn.XLOOKUP(tblProduction[[#This Row],[Product]],tblProducts[Product],tblProducts[Category],"Not Found")</f>
        <v>Standard</v>
      </c>
      <c r="L165">
        <f>_xlfn.XLOOKUP(tblProduction[[#This Row],[Product]],tblProducts[Product],tblProducts[Target_Units],"Not Found")</f>
        <v>1000</v>
      </c>
    </row>
    <row r="166" spans="1:12" x14ac:dyDescent="0.3">
      <c r="A166" s="1">
        <v>46041</v>
      </c>
      <c r="B166" t="s">
        <v>15</v>
      </c>
      <c r="C166" t="s">
        <v>12</v>
      </c>
      <c r="D166" t="s">
        <v>16</v>
      </c>
      <c r="E166">
        <v>909</v>
      </c>
      <c r="F166">
        <v>22</v>
      </c>
      <c r="G166">
        <v>26</v>
      </c>
      <c r="H166">
        <v>887</v>
      </c>
      <c r="I166">
        <v>2.4202420242024201</v>
      </c>
      <c r="J166">
        <v>97.579757975797577</v>
      </c>
      <c r="K166" t="str">
        <f>_xlfn.XLOOKUP(tblProduction[[#This Row],[Product]],tblProducts[Product],tblProducts[Category],"Not Found")</f>
        <v>Standard</v>
      </c>
      <c r="L166">
        <f>_xlfn.XLOOKUP(tblProduction[[#This Row],[Product]],tblProducts[Product],tblProducts[Target_Units],"Not Found")</f>
        <v>1000</v>
      </c>
    </row>
    <row r="167" spans="1:12" x14ac:dyDescent="0.3">
      <c r="A167" s="1">
        <v>46041</v>
      </c>
      <c r="B167" t="s">
        <v>15</v>
      </c>
      <c r="C167" t="s">
        <v>13</v>
      </c>
      <c r="D167" t="s">
        <v>11</v>
      </c>
      <c r="E167">
        <v>755</v>
      </c>
      <c r="F167">
        <v>26</v>
      </c>
      <c r="G167">
        <v>48</v>
      </c>
      <c r="H167">
        <v>729</v>
      </c>
      <c r="I167">
        <v>3.443708609271523</v>
      </c>
      <c r="J167">
        <v>96.556291390728475</v>
      </c>
      <c r="K167" t="str">
        <f>_xlfn.XLOOKUP(tblProduction[[#This Row],[Product]],tblProducts[Product],tblProducts[Category],"Not Found")</f>
        <v>Precision</v>
      </c>
      <c r="L167">
        <f>_xlfn.XLOOKUP(tblProduction[[#This Row],[Product]],tblProducts[Product],tblProducts[Target_Units],"Not Found")</f>
        <v>950</v>
      </c>
    </row>
    <row r="168" spans="1:12" x14ac:dyDescent="0.3">
      <c r="A168" s="1">
        <v>46041</v>
      </c>
      <c r="B168" t="s">
        <v>17</v>
      </c>
      <c r="C168" t="s">
        <v>10</v>
      </c>
      <c r="D168" t="s">
        <v>14</v>
      </c>
      <c r="E168">
        <v>661</v>
      </c>
      <c r="F168">
        <v>28</v>
      </c>
      <c r="G168">
        <v>73</v>
      </c>
      <c r="H168">
        <v>633</v>
      </c>
      <c r="I168">
        <v>4.236006051437216</v>
      </c>
      <c r="J168">
        <v>95.763993948562785</v>
      </c>
      <c r="K168" t="str">
        <f>_xlfn.XLOOKUP(tblProduction[[#This Row],[Product]],tblProducts[Product],tblProducts[Category],"Not Found")</f>
        <v>Assembly</v>
      </c>
      <c r="L168">
        <f>_xlfn.XLOOKUP(tblProduction[[#This Row],[Product]],tblProducts[Product],tblProducts[Target_Units],"Not Found")</f>
        <v>850</v>
      </c>
    </row>
    <row r="169" spans="1:12" x14ac:dyDescent="0.3">
      <c r="A169" s="1">
        <v>46041</v>
      </c>
      <c r="B169" t="s">
        <v>17</v>
      </c>
      <c r="C169" t="s">
        <v>12</v>
      </c>
      <c r="D169" t="s">
        <v>18</v>
      </c>
      <c r="E169">
        <v>645</v>
      </c>
      <c r="F169">
        <v>22</v>
      </c>
      <c r="G169">
        <v>88</v>
      </c>
      <c r="H169">
        <v>623</v>
      </c>
      <c r="I169">
        <v>3.410852713178294</v>
      </c>
      <c r="J169">
        <v>96.589147286821714</v>
      </c>
      <c r="K169" t="str">
        <f>_xlfn.XLOOKUP(tblProduction[[#This Row],[Product]],tblProducts[Product],tblProducts[Category],"Not Found")</f>
        <v>Assembly</v>
      </c>
      <c r="L169">
        <f>_xlfn.XLOOKUP(tblProduction[[#This Row],[Product]],tblProducts[Product],tblProducts[Target_Units],"Not Found")</f>
        <v>900</v>
      </c>
    </row>
    <row r="170" spans="1:12" x14ac:dyDescent="0.3">
      <c r="A170" s="1">
        <v>46041</v>
      </c>
      <c r="B170" t="s">
        <v>17</v>
      </c>
      <c r="C170" t="s">
        <v>13</v>
      </c>
      <c r="D170" t="s">
        <v>11</v>
      </c>
      <c r="E170">
        <v>680</v>
      </c>
      <c r="F170">
        <v>30</v>
      </c>
      <c r="G170">
        <v>29</v>
      </c>
      <c r="H170">
        <v>650</v>
      </c>
      <c r="I170">
        <v>4.4117647058823533</v>
      </c>
      <c r="J170">
        <v>95.588235294117652</v>
      </c>
      <c r="K170" t="str">
        <f>_xlfn.XLOOKUP(tblProduction[[#This Row],[Product]],tblProducts[Product],tblProducts[Category],"Not Found")</f>
        <v>Precision</v>
      </c>
      <c r="L170">
        <f>_xlfn.XLOOKUP(tblProduction[[#This Row],[Product]],tblProducts[Product],tblProducts[Target_Units],"Not Found")</f>
        <v>950</v>
      </c>
    </row>
    <row r="171" spans="1:12" x14ac:dyDescent="0.3">
      <c r="A171" s="1">
        <v>46042</v>
      </c>
      <c r="B171" t="s">
        <v>9</v>
      </c>
      <c r="C171" t="s">
        <v>10</v>
      </c>
      <c r="D171" t="s">
        <v>16</v>
      </c>
      <c r="E171">
        <v>924</v>
      </c>
      <c r="F171">
        <v>13</v>
      </c>
      <c r="G171">
        <v>86</v>
      </c>
      <c r="H171">
        <v>911</v>
      </c>
      <c r="I171">
        <v>1.4069264069264069</v>
      </c>
      <c r="J171">
        <v>98.593073593073584</v>
      </c>
      <c r="K171" t="str">
        <f>_xlfn.XLOOKUP(tblProduction[[#This Row],[Product]],tblProducts[Product],tblProducts[Category],"Not Found")</f>
        <v>Standard</v>
      </c>
      <c r="L171">
        <f>_xlfn.XLOOKUP(tblProduction[[#This Row],[Product]],tblProducts[Product],tblProducts[Target_Units],"Not Found")</f>
        <v>1000</v>
      </c>
    </row>
    <row r="172" spans="1:12" x14ac:dyDescent="0.3">
      <c r="A172" s="1">
        <v>46042</v>
      </c>
      <c r="B172" t="s">
        <v>9</v>
      </c>
      <c r="C172" t="s">
        <v>12</v>
      </c>
      <c r="D172" t="s">
        <v>11</v>
      </c>
      <c r="E172">
        <v>875</v>
      </c>
      <c r="F172">
        <v>13</v>
      </c>
      <c r="G172">
        <v>69</v>
      </c>
      <c r="H172">
        <v>862</v>
      </c>
      <c r="I172">
        <v>1.485714285714286</v>
      </c>
      <c r="J172">
        <v>98.514285714285705</v>
      </c>
      <c r="K172" t="str">
        <f>_xlfn.XLOOKUP(tblProduction[[#This Row],[Product]],tblProducts[Product],tblProducts[Category],"Not Found")</f>
        <v>Precision</v>
      </c>
      <c r="L172">
        <f>_xlfn.XLOOKUP(tblProduction[[#This Row],[Product]],tblProducts[Product],tblProducts[Target_Units],"Not Found")</f>
        <v>950</v>
      </c>
    </row>
    <row r="173" spans="1:12" x14ac:dyDescent="0.3">
      <c r="A173" s="1">
        <v>46042</v>
      </c>
      <c r="B173" t="s">
        <v>9</v>
      </c>
      <c r="C173" t="s">
        <v>13</v>
      </c>
      <c r="D173" t="s">
        <v>14</v>
      </c>
      <c r="E173">
        <v>777</v>
      </c>
      <c r="F173">
        <v>25</v>
      </c>
      <c r="G173">
        <v>11</v>
      </c>
      <c r="H173">
        <v>752</v>
      </c>
      <c r="I173">
        <v>3.217503217503217</v>
      </c>
      <c r="J173">
        <v>96.782496782496779</v>
      </c>
      <c r="K173" t="str">
        <f>_xlfn.XLOOKUP(tblProduction[[#This Row],[Product]],tblProducts[Product],tblProducts[Category],"Not Found")</f>
        <v>Assembly</v>
      </c>
      <c r="L173">
        <f>_xlfn.XLOOKUP(tblProduction[[#This Row],[Product]],tblProducts[Product],tblProducts[Target_Units],"Not Found")</f>
        <v>850</v>
      </c>
    </row>
    <row r="174" spans="1:12" x14ac:dyDescent="0.3">
      <c r="A174" s="1">
        <v>46042</v>
      </c>
      <c r="B174" t="s">
        <v>15</v>
      </c>
      <c r="C174" t="s">
        <v>10</v>
      </c>
      <c r="D174" t="s">
        <v>16</v>
      </c>
      <c r="E174">
        <v>845</v>
      </c>
      <c r="F174">
        <v>21</v>
      </c>
      <c r="G174">
        <v>80</v>
      </c>
      <c r="H174">
        <v>824</v>
      </c>
      <c r="I174">
        <v>2.4852071005917158</v>
      </c>
      <c r="J174">
        <v>97.514792899408292</v>
      </c>
      <c r="K174" t="str">
        <f>_xlfn.XLOOKUP(tblProduction[[#This Row],[Product]],tblProducts[Product],tblProducts[Category],"Not Found")</f>
        <v>Standard</v>
      </c>
      <c r="L174">
        <f>_xlfn.XLOOKUP(tblProduction[[#This Row],[Product]],tblProducts[Product],tblProducts[Target_Units],"Not Found")</f>
        <v>1000</v>
      </c>
    </row>
    <row r="175" spans="1:12" x14ac:dyDescent="0.3">
      <c r="A175" s="1">
        <v>46042</v>
      </c>
      <c r="B175" t="s">
        <v>15</v>
      </c>
      <c r="C175" t="s">
        <v>12</v>
      </c>
      <c r="D175" t="s">
        <v>11</v>
      </c>
      <c r="E175">
        <v>794</v>
      </c>
      <c r="F175">
        <v>19</v>
      </c>
      <c r="G175">
        <v>52</v>
      </c>
      <c r="H175">
        <v>775</v>
      </c>
      <c r="I175">
        <v>2.3929471032745591</v>
      </c>
      <c r="J175">
        <v>97.607052896725449</v>
      </c>
      <c r="K175" t="str">
        <f>_xlfn.XLOOKUP(tblProduction[[#This Row],[Product]],tblProducts[Product],tblProducts[Category],"Not Found")</f>
        <v>Precision</v>
      </c>
      <c r="L175">
        <f>_xlfn.XLOOKUP(tblProduction[[#This Row],[Product]],tblProducts[Product],tblProducts[Target_Units],"Not Found")</f>
        <v>950</v>
      </c>
    </row>
    <row r="176" spans="1:12" x14ac:dyDescent="0.3">
      <c r="A176" s="1">
        <v>46042</v>
      </c>
      <c r="B176" t="s">
        <v>15</v>
      </c>
      <c r="C176" t="s">
        <v>13</v>
      </c>
      <c r="D176" t="s">
        <v>16</v>
      </c>
      <c r="E176">
        <v>843</v>
      </c>
      <c r="F176">
        <v>29</v>
      </c>
      <c r="G176">
        <v>34</v>
      </c>
      <c r="H176">
        <v>814</v>
      </c>
      <c r="I176">
        <v>3.4400948991696318</v>
      </c>
      <c r="J176">
        <v>96.559905100830363</v>
      </c>
      <c r="K176" t="str">
        <f>_xlfn.XLOOKUP(tblProduction[[#This Row],[Product]],tblProducts[Product],tblProducts[Category],"Not Found")</f>
        <v>Standard</v>
      </c>
      <c r="L176">
        <f>_xlfn.XLOOKUP(tblProduction[[#This Row],[Product]],tblProducts[Product],tblProducts[Target_Units],"Not Found")</f>
        <v>1000</v>
      </c>
    </row>
    <row r="177" spans="1:12" x14ac:dyDescent="0.3">
      <c r="A177" s="1">
        <v>46042</v>
      </c>
      <c r="B177" t="s">
        <v>17</v>
      </c>
      <c r="C177" t="s">
        <v>10</v>
      </c>
      <c r="D177" t="s">
        <v>14</v>
      </c>
      <c r="E177">
        <v>717</v>
      </c>
      <c r="F177">
        <v>30</v>
      </c>
      <c r="G177">
        <v>10</v>
      </c>
      <c r="H177">
        <v>687</v>
      </c>
      <c r="I177">
        <v>4.1841004184100417</v>
      </c>
      <c r="J177">
        <v>95.81589958158996</v>
      </c>
      <c r="K177" t="str">
        <f>_xlfn.XLOOKUP(tblProduction[[#This Row],[Product]],tblProducts[Product],tblProducts[Category],"Not Found")</f>
        <v>Assembly</v>
      </c>
      <c r="L177">
        <f>_xlfn.XLOOKUP(tblProduction[[#This Row],[Product]],tblProducts[Product],tblProducts[Target_Units],"Not Found")</f>
        <v>850</v>
      </c>
    </row>
    <row r="178" spans="1:12" x14ac:dyDescent="0.3">
      <c r="A178" s="1">
        <v>46042</v>
      </c>
      <c r="B178" t="s">
        <v>17</v>
      </c>
      <c r="C178" t="s">
        <v>12</v>
      </c>
      <c r="D178" t="s">
        <v>14</v>
      </c>
      <c r="E178">
        <v>692</v>
      </c>
      <c r="F178">
        <v>29</v>
      </c>
      <c r="G178">
        <v>26</v>
      </c>
      <c r="H178">
        <v>663</v>
      </c>
      <c r="I178">
        <v>4.1907514450867049</v>
      </c>
      <c r="J178">
        <v>95.809248554913296</v>
      </c>
      <c r="K178" t="str">
        <f>_xlfn.XLOOKUP(tblProduction[[#This Row],[Product]],tblProducts[Product],tblProducts[Category],"Not Found")</f>
        <v>Assembly</v>
      </c>
      <c r="L178">
        <f>_xlfn.XLOOKUP(tblProduction[[#This Row],[Product]],tblProducts[Product],tblProducts[Target_Units],"Not Found")</f>
        <v>850</v>
      </c>
    </row>
    <row r="179" spans="1:12" x14ac:dyDescent="0.3">
      <c r="A179" s="1">
        <v>46042</v>
      </c>
      <c r="B179" t="s">
        <v>17</v>
      </c>
      <c r="C179" t="s">
        <v>13</v>
      </c>
      <c r="D179" t="s">
        <v>14</v>
      </c>
      <c r="E179">
        <v>620</v>
      </c>
      <c r="F179">
        <v>32</v>
      </c>
      <c r="G179">
        <v>39</v>
      </c>
      <c r="H179">
        <v>588</v>
      </c>
      <c r="I179">
        <v>5.161290322580645</v>
      </c>
      <c r="J179">
        <v>94.838709677419359</v>
      </c>
      <c r="K179" t="str">
        <f>_xlfn.XLOOKUP(tblProduction[[#This Row],[Product]],tblProducts[Product],tblProducts[Category],"Not Found")</f>
        <v>Assembly</v>
      </c>
      <c r="L179">
        <f>_xlfn.XLOOKUP(tblProduction[[#This Row],[Product]],tblProducts[Product],tblProducts[Target_Units],"Not Found")</f>
        <v>850</v>
      </c>
    </row>
    <row r="180" spans="1:12" x14ac:dyDescent="0.3">
      <c r="A180" s="1">
        <v>46043</v>
      </c>
      <c r="B180" t="s">
        <v>9</v>
      </c>
      <c r="C180" t="s">
        <v>10</v>
      </c>
      <c r="D180" t="s">
        <v>11</v>
      </c>
      <c r="E180">
        <v>963</v>
      </c>
      <c r="F180">
        <v>14</v>
      </c>
      <c r="G180">
        <v>36</v>
      </c>
      <c r="H180">
        <v>949</v>
      </c>
      <c r="I180">
        <v>1.4537902388369679</v>
      </c>
      <c r="J180">
        <v>98.546209761163027</v>
      </c>
      <c r="K180" t="str">
        <f>_xlfn.XLOOKUP(tblProduction[[#This Row],[Product]],tblProducts[Product],tblProducts[Category],"Not Found")</f>
        <v>Precision</v>
      </c>
      <c r="L180">
        <f>_xlfn.XLOOKUP(tblProduction[[#This Row],[Product]],tblProducts[Product],tblProducts[Target_Units],"Not Found")</f>
        <v>950</v>
      </c>
    </row>
    <row r="181" spans="1:12" x14ac:dyDescent="0.3">
      <c r="A181" s="1">
        <v>46043</v>
      </c>
      <c r="B181" t="s">
        <v>9</v>
      </c>
      <c r="C181" t="s">
        <v>12</v>
      </c>
      <c r="D181" t="s">
        <v>11</v>
      </c>
      <c r="E181">
        <v>864</v>
      </c>
      <c r="F181">
        <v>12</v>
      </c>
      <c r="G181">
        <v>56</v>
      </c>
      <c r="H181">
        <v>852</v>
      </c>
      <c r="I181">
        <v>1.3888888888888891</v>
      </c>
      <c r="J181">
        <v>98.611111111111114</v>
      </c>
      <c r="K181" t="str">
        <f>_xlfn.XLOOKUP(tblProduction[[#This Row],[Product]],tblProducts[Product],tblProducts[Category],"Not Found")</f>
        <v>Precision</v>
      </c>
      <c r="L181">
        <f>_xlfn.XLOOKUP(tblProduction[[#This Row],[Product]],tblProducts[Product],tblProducts[Target_Units],"Not Found")</f>
        <v>950</v>
      </c>
    </row>
    <row r="182" spans="1:12" x14ac:dyDescent="0.3">
      <c r="A182" s="1">
        <v>46043</v>
      </c>
      <c r="B182" t="s">
        <v>9</v>
      </c>
      <c r="C182" t="s">
        <v>13</v>
      </c>
      <c r="D182" t="s">
        <v>14</v>
      </c>
      <c r="E182">
        <v>799</v>
      </c>
      <c r="F182">
        <v>26</v>
      </c>
      <c r="G182">
        <v>35</v>
      </c>
      <c r="H182">
        <v>773</v>
      </c>
      <c r="I182">
        <v>3.2540675844806008</v>
      </c>
      <c r="J182">
        <v>96.745932415519391</v>
      </c>
      <c r="K182" t="str">
        <f>_xlfn.XLOOKUP(tblProduction[[#This Row],[Product]],tblProducts[Product],tblProducts[Category],"Not Found")</f>
        <v>Assembly</v>
      </c>
      <c r="L182">
        <f>_xlfn.XLOOKUP(tblProduction[[#This Row],[Product]],tblProducts[Product],tblProducts[Target_Units],"Not Found")</f>
        <v>850</v>
      </c>
    </row>
    <row r="183" spans="1:12" x14ac:dyDescent="0.3">
      <c r="A183" s="1">
        <v>46043</v>
      </c>
      <c r="B183" t="s">
        <v>15</v>
      </c>
      <c r="C183" t="s">
        <v>10</v>
      </c>
      <c r="D183" t="s">
        <v>16</v>
      </c>
      <c r="E183">
        <v>897</v>
      </c>
      <c r="F183">
        <v>22</v>
      </c>
      <c r="G183">
        <v>64</v>
      </c>
      <c r="H183">
        <v>875</v>
      </c>
      <c r="I183">
        <v>2.4526198439241922</v>
      </c>
      <c r="J183">
        <v>97.547380156075818</v>
      </c>
      <c r="K183" t="str">
        <f>_xlfn.XLOOKUP(tblProduction[[#This Row],[Product]],tblProducts[Product],tblProducts[Category],"Not Found")</f>
        <v>Standard</v>
      </c>
      <c r="L183">
        <f>_xlfn.XLOOKUP(tblProduction[[#This Row],[Product]],tblProducts[Product],tblProducts[Target_Units],"Not Found")</f>
        <v>1000</v>
      </c>
    </row>
    <row r="184" spans="1:12" x14ac:dyDescent="0.3">
      <c r="A184" s="1">
        <v>46043</v>
      </c>
      <c r="B184" t="s">
        <v>15</v>
      </c>
      <c r="C184" t="s">
        <v>12</v>
      </c>
      <c r="D184" t="s">
        <v>16</v>
      </c>
      <c r="E184">
        <v>944</v>
      </c>
      <c r="F184">
        <v>23</v>
      </c>
      <c r="G184">
        <v>11</v>
      </c>
      <c r="H184">
        <v>921</v>
      </c>
      <c r="I184">
        <v>2.4364406779661021</v>
      </c>
      <c r="J184">
        <v>97.563559322033896</v>
      </c>
      <c r="K184" t="str">
        <f>_xlfn.XLOOKUP(tblProduction[[#This Row],[Product]],tblProducts[Product],tblProducts[Category],"Not Found")</f>
        <v>Standard</v>
      </c>
      <c r="L184">
        <f>_xlfn.XLOOKUP(tblProduction[[#This Row],[Product]],tblProducts[Product],tblProducts[Target_Units],"Not Found")</f>
        <v>1000</v>
      </c>
    </row>
    <row r="185" spans="1:12" x14ac:dyDescent="0.3">
      <c r="A185" s="1">
        <v>46043</v>
      </c>
      <c r="B185" t="s">
        <v>15</v>
      </c>
      <c r="C185" t="s">
        <v>13</v>
      </c>
      <c r="D185" t="s">
        <v>16</v>
      </c>
      <c r="E185">
        <v>859</v>
      </c>
      <c r="F185">
        <v>30</v>
      </c>
      <c r="G185">
        <v>37</v>
      </c>
      <c r="H185">
        <v>829</v>
      </c>
      <c r="I185">
        <v>3.49243306169965</v>
      </c>
      <c r="J185">
        <v>96.507566938300343</v>
      </c>
      <c r="K185" t="str">
        <f>_xlfn.XLOOKUP(tblProduction[[#This Row],[Product]],tblProducts[Product],tblProducts[Category],"Not Found")</f>
        <v>Standard</v>
      </c>
      <c r="L185">
        <f>_xlfn.XLOOKUP(tblProduction[[#This Row],[Product]],tblProducts[Product],tblProducts[Target_Units],"Not Found")</f>
        <v>1000</v>
      </c>
    </row>
    <row r="186" spans="1:12" x14ac:dyDescent="0.3">
      <c r="A186" s="1">
        <v>46043</v>
      </c>
      <c r="B186" t="s">
        <v>17</v>
      </c>
      <c r="C186" t="s">
        <v>10</v>
      </c>
      <c r="D186" t="s">
        <v>14</v>
      </c>
      <c r="E186">
        <v>666</v>
      </c>
      <c r="F186">
        <v>28</v>
      </c>
      <c r="G186">
        <v>62</v>
      </c>
      <c r="H186">
        <v>638</v>
      </c>
      <c r="I186">
        <v>4.2042042042042036</v>
      </c>
      <c r="J186">
        <v>95.795795795795797</v>
      </c>
      <c r="K186" t="str">
        <f>_xlfn.XLOOKUP(tblProduction[[#This Row],[Product]],tblProducts[Product],tblProducts[Category],"Not Found")</f>
        <v>Assembly</v>
      </c>
      <c r="L186">
        <f>_xlfn.XLOOKUP(tblProduction[[#This Row],[Product]],tblProducts[Product],tblProducts[Target_Units],"Not Found")</f>
        <v>850</v>
      </c>
    </row>
    <row r="187" spans="1:12" x14ac:dyDescent="0.3">
      <c r="A187" s="1">
        <v>46043</v>
      </c>
      <c r="B187" t="s">
        <v>17</v>
      </c>
      <c r="C187" t="s">
        <v>12</v>
      </c>
      <c r="D187" t="s">
        <v>18</v>
      </c>
      <c r="E187">
        <v>720</v>
      </c>
      <c r="F187">
        <v>25</v>
      </c>
      <c r="G187">
        <v>14</v>
      </c>
      <c r="H187">
        <v>695</v>
      </c>
      <c r="I187">
        <v>3.4722222222222219</v>
      </c>
      <c r="J187">
        <v>96.527777777777786</v>
      </c>
      <c r="K187" t="str">
        <f>_xlfn.XLOOKUP(tblProduction[[#This Row],[Product]],tblProducts[Product],tblProducts[Category],"Not Found")</f>
        <v>Assembly</v>
      </c>
      <c r="L187">
        <f>_xlfn.XLOOKUP(tblProduction[[#This Row],[Product]],tblProducts[Product],tblProducts[Target_Units],"Not Found")</f>
        <v>900</v>
      </c>
    </row>
    <row r="188" spans="1:12" x14ac:dyDescent="0.3">
      <c r="A188" s="1">
        <v>46043</v>
      </c>
      <c r="B188" t="s">
        <v>17</v>
      </c>
      <c r="C188" t="s">
        <v>13</v>
      </c>
      <c r="D188" t="s">
        <v>18</v>
      </c>
      <c r="E188">
        <v>676</v>
      </c>
      <c r="F188">
        <v>30</v>
      </c>
      <c r="G188">
        <v>57</v>
      </c>
      <c r="H188">
        <v>646</v>
      </c>
      <c r="I188">
        <v>4.4378698224852071</v>
      </c>
      <c r="J188">
        <v>95.562130177514788</v>
      </c>
      <c r="K188" t="str">
        <f>_xlfn.XLOOKUP(tblProduction[[#This Row],[Product]],tblProducts[Product],tblProducts[Category],"Not Found")</f>
        <v>Assembly</v>
      </c>
      <c r="L188">
        <f>_xlfn.XLOOKUP(tblProduction[[#This Row],[Product]],tblProducts[Product],tblProducts[Target_Units],"Not Found")</f>
        <v>900</v>
      </c>
    </row>
    <row r="189" spans="1:12" x14ac:dyDescent="0.3">
      <c r="A189" s="1">
        <v>46044</v>
      </c>
      <c r="B189" t="s">
        <v>9</v>
      </c>
      <c r="C189" t="s">
        <v>10</v>
      </c>
      <c r="D189" t="s">
        <v>11</v>
      </c>
      <c r="E189">
        <v>1018</v>
      </c>
      <c r="F189">
        <v>15</v>
      </c>
      <c r="G189">
        <v>42</v>
      </c>
      <c r="H189">
        <v>1003</v>
      </c>
      <c r="I189">
        <v>1.473477406679764</v>
      </c>
      <c r="J189">
        <v>98.526522593320237</v>
      </c>
      <c r="K189" t="str">
        <f>_xlfn.XLOOKUP(tblProduction[[#This Row],[Product]],tblProducts[Product],tblProducts[Category],"Not Found")</f>
        <v>Precision</v>
      </c>
      <c r="L189">
        <f>_xlfn.XLOOKUP(tblProduction[[#This Row],[Product]],tblProducts[Product],tblProducts[Target_Units],"Not Found")</f>
        <v>950</v>
      </c>
    </row>
    <row r="190" spans="1:12" x14ac:dyDescent="0.3">
      <c r="A190" s="1">
        <v>46044</v>
      </c>
      <c r="B190" t="s">
        <v>9</v>
      </c>
      <c r="C190" t="s">
        <v>12</v>
      </c>
      <c r="D190" t="s">
        <v>18</v>
      </c>
      <c r="E190">
        <v>940</v>
      </c>
      <c r="F190">
        <v>14</v>
      </c>
      <c r="G190">
        <v>16</v>
      </c>
      <c r="H190">
        <v>926</v>
      </c>
      <c r="I190">
        <v>1.4893617021276599</v>
      </c>
      <c r="J190">
        <v>98.510638297872347</v>
      </c>
      <c r="K190" t="str">
        <f>_xlfn.XLOOKUP(tblProduction[[#This Row],[Product]],tblProducts[Product],tblProducts[Category],"Not Found")</f>
        <v>Assembly</v>
      </c>
      <c r="L190">
        <f>_xlfn.XLOOKUP(tblProduction[[#This Row],[Product]],tblProducts[Product],tblProducts[Target_Units],"Not Found")</f>
        <v>900</v>
      </c>
    </row>
    <row r="191" spans="1:12" x14ac:dyDescent="0.3">
      <c r="A191" s="1">
        <v>46044</v>
      </c>
      <c r="B191" t="s">
        <v>9</v>
      </c>
      <c r="C191" t="s">
        <v>13</v>
      </c>
      <c r="D191" t="s">
        <v>11</v>
      </c>
      <c r="E191">
        <v>858</v>
      </c>
      <c r="F191">
        <v>21</v>
      </c>
      <c r="G191">
        <v>66</v>
      </c>
      <c r="H191">
        <v>837</v>
      </c>
      <c r="I191">
        <v>2.4475524475524471</v>
      </c>
      <c r="J191">
        <v>97.552447552447546</v>
      </c>
      <c r="K191" t="str">
        <f>_xlfn.XLOOKUP(tblProduction[[#This Row],[Product]],tblProducts[Product],tblProducts[Category],"Not Found")</f>
        <v>Precision</v>
      </c>
      <c r="L191">
        <f>_xlfn.XLOOKUP(tblProduction[[#This Row],[Product]],tblProducts[Product],tblProducts[Target_Units],"Not Found")</f>
        <v>950</v>
      </c>
    </row>
    <row r="192" spans="1:12" x14ac:dyDescent="0.3">
      <c r="A192" s="1">
        <v>46044</v>
      </c>
      <c r="B192" t="s">
        <v>15</v>
      </c>
      <c r="C192" t="s">
        <v>10</v>
      </c>
      <c r="D192" t="s">
        <v>18</v>
      </c>
      <c r="E192">
        <v>826</v>
      </c>
      <c r="F192">
        <v>20</v>
      </c>
      <c r="G192">
        <v>38</v>
      </c>
      <c r="H192">
        <v>806</v>
      </c>
      <c r="I192">
        <v>2.4213075060532692</v>
      </c>
      <c r="J192">
        <v>97.578692493946733</v>
      </c>
      <c r="K192" t="str">
        <f>_xlfn.XLOOKUP(tblProduction[[#This Row],[Product]],tblProducts[Product],tblProducts[Category],"Not Found")</f>
        <v>Assembly</v>
      </c>
      <c r="L192">
        <f>_xlfn.XLOOKUP(tblProduction[[#This Row],[Product]],tblProducts[Product],tblProducts[Target_Units],"Not Found")</f>
        <v>900</v>
      </c>
    </row>
    <row r="193" spans="1:12" x14ac:dyDescent="0.3">
      <c r="A193" s="1">
        <v>46044</v>
      </c>
      <c r="B193" t="s">
        <v>15</v>
      </c>
      <c r="C193" t="s">
        <v>12</v>
      </c>
      <c r="D193" t="s">
        <v>16</v>
      </c>
      <c r="E193">
        <v>842</v>
      </c>
      <c r="F193">
        <v>21</v>
      </c>
      <c r="G193">
        <v>67</v>
      </c>
      <c r="H193">
        <v>821</v>
      </c>
      <c r="I193">
        <v>2.4940617577197148</v>
      </c>
      <c r="J193">
        <v>97.505938242280294</v>
      </c>
      <c r="K193" t="str">
        <f>_xlfn.XLOOKUP(tblProduction[[#This Row],[Product]],tblProducts[Product],tblProducts[Category],"Not Found")</f>
        <v>Standard</v>
      </c>
      <c r="L193">
        <f>_xlfn.XLOOKUP(tblProduction[[#This Row],[Product]],tblProducts[Product],tblProducts[Target_Units],"Not Found")</f>
        <v>1000</v>
      </c>
    </row>
    <row r="194" spans="1:12" x14ac:dyDescent="0.3">
      <c r="A194" s="1">
        <v>46044</v>
      </c>
      <c r="B194" t="s">
        <v>15</v>
      </c>
      <c r="C194" t="s">
        <v>13</v>
      </c>
      <c r="D194" t="s">
        <v>11</v>
      </c>
      <c r="E194">
        <v>840</v>
      </c>
      <c r="F194">
        <v>29</v>
      </c>
      <c r="G194">
        <v>24</v>
      </c>
      <c r="H194">
        <v>811</v>
      </c>
      <c r="I194">
        <v>3.452380952380953</v>
      </c>
      <c r="J194">
        <v>96.547619047619051</v>
      </c>
      <c r="K194" t="str">
        <f>_xlfn.XLOOKUP(tblProduction[[#This Row],[Product]],tblProducts[Product],tblProducts[Category],"Not Found")</f>
        <v>Precision</v>
      </c>
      <c r="L194">
        <f>_xlfn.XLOOKUP(tblProduction[[#This Row],[Product]],tblProducts[Product],tblProducts[Target_Units],"Not Found")</f>
        <v>950</v>
      </c>
    </row>
    <row r="195" spans="1:12" x14ac:dyDescent="0.3">
      <c r="A195" s="1">
        <v>46044</v>
      </c>
      <c r="B195" t="s">
        <v>17</v>
      </c>
      <c r="C195" t="s">
        <v>10</v>
      </c>
      <c r="D195" t="s">
        <v>11</v>
      </c>
      <c r="E195">
        <v>818</v>
      </c>
      <c r="F195">
        <v>28</v>
      </c>
      <c r="G195">
        <v>12</v>
      </c>
      <c r="H195">
        <v>790</v>
      </c>
      <c r="I195">
        <v>3.4229828850855739</v>
      </c>
      <c r="J195">
        <v>96.577017114914426</v>
      </c>
      <c r="K195" t="str">
        <f>_xlfn.XLOOKUP(tblProduction[[#This Row],[Product]],tblProducts[Product],tblProducts[Category],"Not Found")</f>
        <v>Precision</v>
      </c>
      <c r="L195">
        <f>_xlfn.XLOOKUP(tblProduction[[#This Row],[Product]],tblProducts[Product],tblProducts[Target_Units],"Not Found")</f>
        <v>950</v>
      </c>
    </row>
    <row r="196" spans="1:12" x14ac:dyDescent="0.3">
      <c r="A196" s="1">
        <v>46044</v>
      </c>
      <c r="B196" t="s">
        <v>17</v>
      </c>
      <c r="C196" t="s">
        <v>12</v>
      </c>
      <c r="D196" t="s">
        <v>14</v>
      </c>
      <c r="E196">
        <v>717</v>
      </c>
      <c r="F196">
        <v>30</v>
      </c>
      <c r="G196">
        <v>14</v>
      </c>
      <c r="H196">
        <v>687</v>
      </c>
      <c r="I196">
        <v>4.1841004184100417</v>
      </c>
      <c r="J196">
        <v>95.81589958158996</v>
      </c>
      <c r="K196" t="str">
        <f>_xlfn.XLOOKUP(tblProduction[[#This Row],[Product]],tblProducts[Product],tblProducts[Category],"Not Found")</f>
        <v>Assembly</v>
      </c>
      <c r="L196">
        <f>_xlfn.XLOOKUP(tblProduction[[#This Row],[Product]],tblProducts[Product],tblProducts[Target_Units],"Not Found")</f>
        <v>850</v>
      </c>
    </row>
    <row r="197" spans="1:12" x14ac:dyDescent="0.3">
      <c r="A197" s="1">
        <v>46044</v>
      </c>
      <c r="B197" t="s">
        <v>17</v>
      </c>
      <c r="C197" t="s">
        <v>13</v>
      </c>
      <c r="D197" t="s">
        <v>14</v>
      </c>
      <c r="E197">
        <v>683</v>
      </c>
      <c r="F197">
        <v>36</v>
      </c>
      <c r="G197">
        <v>19</v>
      </c>
      <c r="H197">
        <v>647</v>
      </c>
      <c r="I197">
        <v>5.2708638360175701</v>
      </c>
      <c r="J197">
        <v>94.729136163982432</v>
      </c>
      <c r="K197" t="str">
        <f>_xlfn.XLOOKUP(tblProduction[[#This Row],[Product]],tblProducts[Product],tblProducts[Category],"Not Found")</f>
        <v>Assembly</v>
      </c>
      <c r="L197">
        <f>_xlfn.XLOOKUP(tblProduction[[#This Row],[Product]],tblProducts[Product],tblProducts[Target_Units],"Not Found")</f>
        <v>850</v>
      </c>
    </row>
    <row r="198" spans="1:12" x14ac:dyDescent="0.3">
      <c r="A198" s="1">
        <v>46045</v>
      </c>
      <c r="B198" t="s">
        <v>9</v>
      </c>
      <c r="C198" t="s">
        <v>10</v>
      </c>
      <c r="D198" t="s">
        <v>11</v>
      </c>
      <c r="E198">
        <v>972</v>
      </c>
      <c r="F198">
        <v>14</v>
      </c>
      <c r="G198">
        <v>34</v>
      </c>
      <c r="H198">
        <v>958</v>
      </c>
      <c r="I198">
        <v>1.440329218106996</v>
      </c>
      <c r="J198">
        <v>98.559670781893004</v>
      </c>
      <c r="K198" t="str">
        <f>_xlfn.XLOOKUP(tblProduction[[#This Row],[Product]],tblProducts[Product],tblProducts[Category],"Not Found")</f>
        <v>Precision</v>
      </c>
      <c r="L198">
        <f>_xlfn.XLOOKUP(tblProduction[[#This Row],[Product]],tblProducts[Product],tblProducts[Target_Units],"Not Found")</f>
        <v>950</v>
      </c>
    </row>
    <row r="199" spans="1:12" x14ac:dyDescent="0.3">
      <c r="A199" s="1">
        <v>46045</v>
      </c>
      <c r="B199" t="s">
        <v>9</v>
      </c>
      <c r="C199" t="s">
        <v>12</v>
      </c>
      <c r="D199" t="s">
        <v>11</v>
      </c>
      <c r="E199">
        <v>896</v>
      </c>
      <c r="F199">
        <v>13</v>
      </c>
      <c r="G199">
        <v>54</v>
      </c>
      <c r="H199">
        <v>883</v>
      </c>
      <c r="I199">
        <v>1.450892857142857</v>
      </c>
      <c r="J199">
        <v>98.549107142857139</v>
      </c>
      <c r="K199" t="str">
        <f>_xlfn.XLOOKUP(tblProduction[[#This Row],[Product]],tblProducts[Product],tblProducts[Category],"Not Found")</f>
        <v>Precision</v>
      </c>
      <c r="L199">
        <f>_xlfn.XLOOKUP(tblProduction[[#This Row],[Product]],tblProducts[Product],tblProducts[Target_Units],"Not Found")</f>
        <v>950</v>
      </c>
    </row>
    <row r="200" spans="1:12" x14ac:dyDescent="0.3">
      <c r="A200" s="1">
        <v>46045</v>
      </c>
      <c r="B200" t="s">
        <v>9</v>
      </c>
      <c r="C200" t="s">
        <v>13</v>
      </c>
      <c r="D200" t="s">
        <v>16</v>
      </c>
      <c r="E200">
        <v>886</v>
      </c>
      <c r="F200">
        <v>22</v>
      </c>
      <c r="G200">
        <v>69</v>
      </c>
      <c r="H200">
        <v>864</v>
      </c>
      <c r="I200">
        <v>2.483069977426636</v>
      </c>
      <c r="J200">
        <v>97.516930022573362</v>
      </c>
      <c r="K200" t="str">
        <f>_xlfn.XLOOKUP(tblProduction[[#This Row],[Product]],tblProducts[Product],tblProducts[Category],"Not Found")</f>
        <v>Standard</v>
      </c>
      <c r="L200">
        <f>_xlfn.XLOOKUP(tblProduction[[#This Row],[Product]],tblProducts[Product],tblProducts[Target_Units],"Not Found")</f>
        <v>1000</v>
      </c>
    </row>
    <row r="201" spans="1:12" x14ac:dyDescent="0.3">
      <c r="A201" s="1">
        <v>46045</v>
      </c>
      <c r="B201" t="s">
        <v>15</v>
      </c>
      <c r="C201" t="s">
        <v>10</v>
      </c>
      <c r="D201" t="s">
        <v>18</v>
      </c>
      <c r="E201">
        <v>766</v>
      </c>
      <c r="F201">
        <v>19</v>
      </c>
      <c r="G201">
        <v>87</v>
      </c>
      <c r="H201">
        <v>747</v>
      </c>
      <c r="I201">
        <v>2.4804177545691899</v>
      </c>
      <c r="J201">
        <v>97.519582245430811</v>
      </c>
      <c r="K201" t="str">
        <f>_xlfn.XLOOKUP(tblProduction[[#This Row],[Product]],tblProducts[Product],tblProducts[Category],"Not Found")</f>
        <v>Assembly</v>
      </c>
      <c r="L201">
        <f>_xlfn.XLOOKUP(tblProduction[[#This Row],[Product]],tblProducts[Product],tblProducts[Target_Units],"Not Found")</f>
        <v>900</v>
      </c>
    </row>
    <row r="202" spans="1:12" x14ac:dyDescent="0.3">
      <c r="A202" s="1">
        <v>46045</v>
      </c>
      <c r="B202" t="s">
        <v>15</v>
      </c>
      <c r="C202" t="s">
        <v>12</v>
      </c>
      <c r="D202" t="s">
        <v>14</v>
      </c>
      <c r="E202">
        <v>737</v>
      </c>
      <c r="F202">
        <v>24</v>
      </c>
      <c r="G202">
        <v>57</v>
      </c>
      <c r="H202">
        <v>713</v>
      </c>
      <c r="I202">
        <v>3.256445047489823</v>
      </c>
      <c r="J202">
        <v>96.743554952510181</v>
      </c>
      <c r="K202" t="str">
        <f>_xlfn.XLOOKUP(tblProduction[[#This Row],[Product]],tblProducts[Product],tblProducts[Category],"Not Found")</f>
        <v>Assembly</v>
      </c>
      <c r="L202">
        <f>_xlfn.XLOOKUP(tblProduction[[#This Row],[Product]],tblProducts[Product],tblProducts[Target_Units],"Not Found")</f>
        <v>850</v>
      </c>
    </row>
    <row r="203" spans="1:12" x14ac:dyDescent="0.3">
      <c r="A203" s="1">
        <v>46045</v>
      </c>
      <c r="B203" t="s">
        <v>15</v>
      </c>
      <c r="C203" t="s">
        <v>13</v>
      </c>
      <c r="D203" t="s">
        <v>16</v>
      </c>
      <c r="E203">
        <v>747</v>
      </c>
      <c r="F203">
        <v>26</v>
      </c>
      <c r="G203">
        <v>88</v>
      </c>
      <c r="H203">
        <v>721</v>
      </c>
      <c r="I203">
        <v>3.4805890227576981</v>
      </c>
      <c r="J203">
        <v>96.519410977242302</v>
      </c>
      <c r="K203" t="str">
        <f>_xlfn.XLOOKUP(tblProduction[[#This Row],[Product]],tblProducts[Product],tblProducts[Category],"Not Found")</f>
        <v>Standard</v>
      </c>
      <c r="L203">
        <f>_xlfn.XLOOKUP(tblProduction[[#This Row],[Product]],tblProducts[Product],tblProducts[Target_Units],"Not Found")</f>
        <v>1000</v>
      </c>
    </row>
    <row r="204" spans="1:12" x14ac:dyDescent="0.3">
      <c r="A204" s="1">
        <v>46045</v>
      </c>
      <c r="B204" t="s">
        <v>17</v>
      </c>
      <c r="C204" t="s">
        <v>10</v>
      </c>
      <c r="D204" t="s">
        <v>11</v>
      </c>
      <c r="E204">
        <v>796</v>
      </c>
      <c r="F204">
        <v>27</v>
      </c>
      <c r="G204">
        <v>51</v>
      </c>
      <c r="H204">
        <v>769</v>
      </c>
      <c r="I204">
        <v>3.391959798994975</v>
      </c>
      <c r="J204">
        <v>96.608040201005025</v>
      </c>
      <c r="K204" t="str">
        <f>_xlfn.XLOOKUP(tblProduction[[#This Row],[Product]],tblProducts[Product],tblProducts[Category],"Not Found")</f>
        <v>Precision</v>
      </c>
      <c r="L204">
        <f>_xlfn.XLOOKUP(tblProduction[[#This Row],[Product]],tblProducts[Product],tblProducts[Target_Units],"Not Found")</f>
        <v>950</v>
      </c>
    </row>
    <row r="205" spans="1:12" x14ac:dyDescent="0.3">
      <c r="A205" s="1">
        <v>46045</v>
      </c>
      <c r="B205" t="s">
        <v>17</v>
      </c>
      <c r="C205" t="s">
        <v>12</v>
      </c>
      <c r="D205" t="s">
        <v>16</v>
      </c>
      <c r="E205">
        <v>802</v>
      </c>
      <c r="F205">
        <v>28</v>
      </c>
      <c r="G205">
        <v>41</v>
      </c>
      <c r="H205">
        <v>774</v>
      </c>
      <c r="I205">
        <v>3.491271820448878</v>
      </c>
      <c r="J205">
        <v>96.508728179551113</v>
      </c>
      <c r="K205" t="str">
        <f>_xlfn.XLOOKUP(tblProduction[[#This Row],[Product]],tblProducts[Product],tblProducts[Category],"Not Found")</f>
        <v>Standard</v>
      </c>
      <c r="L205">
        <f>_xlfn.XLOOKUP(tblProduction[[#This Row],[Product]],tblProducts[Product],tblProducts[Target_Units],"Not Found")</f>
        <v>1000</v>
      </c>
    </row>
    <row r="206" spans="1:12" x14ac:dyDescent="0.3">
      <c r="A206" s="1">
        <v>46045</v>
      </c>
      <c r="B206" t="s">
        <v>17</v>
      </c>
      <c r="C206" t="s">
        <v>13</v>
      </c>
      <c r="D206" t="s">
        <v>18</v>
      </c>
      <c r="E206">
        <v>614</v>
      </c>
      <c r="F206">
        <v>27</v>
      </c>
      <c r="G206">
        <v>67</v>
      </c>
      <c r="H206">
        <v>587</v>
      </c>
      <c r="I206">
        <v>4.3973941368078178</v>
      </c>
      <c r="J206">
        <v>95.602605863192181</v>
      </c>
      <c r="K206" t="str">
        <f>_xlfn.XLOOKUP(tblProduction[[#This Row],[Product]],tblProducts[Product],tblProducts[Category],"Not Found")</f>
        <v>Assembly</v>
      </c>
      <c r="L206">
        <f>_xlfn.XLOOKUP(tblProduction[[#This Row],[Product]],tblProducts[Product],tblProducts[Target_Units],"Not Found")</f>
        <v>900</v>
      </c>
    </row>
    <row r="207" spans="1:12" x14ac:dyDescent="0.3">
      <c r="A207" s="1">
        <v>46046</v>
      </c>
      <c r="B207" t="s">
        <v>9</v>
      </c>
      <c r="C207" t="s">
        <v>10</v>
      </c>
      <c r="D207" t="s">
        <v>14</v>
      </c>
      <c r="E207">
        <v>964</v>
      </c>
      <c r="F207">
        <v>22</v>
      </c>
      <c r="G207">
        <v>6</v>
      </c>
      <c r="H207">
        <v>942</v>
      </c>
      <c r="I207">
        <v>2.282157676348548</v>
      </c>
      <c r="J207">
        <v>97.717842323651453</v>
      </c>
      <c r="K207" t="str">
        <f>_xlfn.XLOOKUP(tblProduction[[#This Row],[Product]],tblProducts[Product],tblProducts[Category],"Not Found")</f>
        <v>Assembly</v>
      </c>
      <c r="L207">
        <f>_xlfn.XLOOKUP(tblProduction[[#This Row],[Product]],tblProducts[Product],tblProducts[Target_Units],"Not Found")</f>
        <v>850</v>
      </c>
    </row>
    <row r="208" spans="1:12" x14ac:dyDescent="0.3">
      <c r="A208" s="1">
        <v>46046</v>
      </c>
      <c r="B208" t="s">
        <v>9</v>
      </c>
      <c r="C208" t="s">
        <v>12</v>
      </c>
      <c r="D208" t="s">
        <v>14</v>
      </c>
      <c r="E208">
        <v>751</v>
      </c>
      <c r="F208">
        <v>17</v>
      </c>
      <c r="G208">
        <v>76</v>
      </c>
      <c r="H208">
        <v>734</v>
      </c>
      <c r="I208">
        <v>2.2636484687083889</v>
      </c>
      <c r="J208">
        <v>97.736351531291604</v>
      </c>
      <c r="K208" t="str">
        <f>_xlfn.XLOOKUP(tblProduction[[#This Row],[Product]],tblProducts[Product],tblProducts[Category],"Not Found")</f>
        <v>Assembly</v>
      </c>
      <c r="L208">
        <f>_xlfn.XLOOKUP(tblProduction[[#This Row],[Product]],tblProducts[Product],tblProducts[Target_Units],"Not Found")</f>
        <v>850</v>
      </c>
    </row>
    <row r="209" spans="1:12" x14ac:dyDescent="0.3">
      <c r="A209" s="1">
        <v>46046</v>
      </c>
      <c r="B209" t="s">
        <v>9</v>
      </c>
      <c r="C209" t="s">
        <v>13</v>
      </c>
      <c r="D209" t="s">
        <v>11</v>
      </c>
      <c r="E209">
        <v>820</v>
      </c>
      <c r="F209">
        <v>20</v>
      </c>
      <c r="G209">
        <v>59</v>
      </c>
      <c r="H209">
        <v>800</v>
      </c>
      <c r="I209">
        <v>2.4390243902439019</v>
      </c>
      <c r="J209">
        <v>97.560975609756099</v>
      </c>
      <c r="K209" t="str">
        <f>_xlfn.XLOOKUP(tblProduction[[#This Row],[Product]],tblProducts[Product],tblProducts[Category],"Not Found")</f>
        <v>Precision</v>
      </c>
      <c r="L209">
        <f>_xlfn.XLOOKUP(tblProduction[[#This Row],[Product]],tblProducts[Product],tblProducts[Target_Units],"Not Found")</f>
        <v>950</v>
      </c>
    </row>
    <row r="210" spans="1:12" x14ac:dyDescent="0.3">
      <c r="A210" s="1">
        <v>46046</v>
      </c>
      <c r="B210" t="s">
        <v>15</v>
      </c>
      <c r="C210" t="s">
        <v>10</v>
      </c>
      <c r="D210" t="s">
        <v>11</v>
      </c>
      <c r="E210">
        <v>839</v>
      </c>
      <c r="F210">
        <v>20</v>
      </c>
      <c r="G210">
        <v>64</v>
      </c>
      <c r="H210">
        <v>819</v>
      </c>
      <c r="I210">
        <v>2.383790226460071</v>
      </c>
      <c r="J210">
        <v>97.616209773539936</v>
      </c>
      <c r="K210" t="str">
        <f>_xlfn.XLOOKUP(tblProduction[[#This Row],[Product]],tblProducts[Product],tblProducts[Category],"Not Found")</f>
        <v>Precision</v>
      </c>
      <c r="L210">
        <f>_xlfn.XLOOKUP(tblProduction[[#This Row],[Product]],tblProducts[Product],tblProducts[Target_Units],"Not Found")</f>
        <v>950</v>
      </c>
    </row>
    <row r="211" spans="1:12" x14ac:dyDescent="0.3">
      <c r="A211" s="1">
        <v>46046</v>
      </c>
      <c r="B211" t="s">
        <v>15</v>
      </c>
      <c r="C211" t="s">
        <v>12</v>
      </c>
      <c r="D211" t="s">
        <v>14</v>
      </c>
      <c r="E211">
        <v>735</v>
      </c>
      <c r="F211">
        <v>24</v>
      </c>
      <c r="G211">
        <v>48</v>
      </c>
      <c r="H211">
        <v>711</v>
      </c>
      <c r="I211">
        <v>3.2653061224489801</v>
      </c>
      <c r="J211">
        <v>96.734693877551024</v>
      </c>
      <c r="K211" t="str">
        <f>_xlfn.XLOOKUP(tblProduction[[#This Row],[Product]],tblProducts[Product],tblProducts[Category],"Not Found")</f>
        <v>Assembly</v>
      </c>
      <c r="L211">
        <f>_xlfn.XLOOKUP(tblProduction[[#This Row],[Product]],tblProducts[Product],tblProducts[Target_Units],"Not Found")</f>
        <v>850</v>
      </c>
    </row>
    <row r="212" spans="1:12" x14ac:dyDescent="0.3">
      <c r="A212" s="1">
        <v>46046</v>
      </c>
      <c r="B212" t="s">
        <v>15</v>
      </c>
      <c r="C212" t="s">
        <v>13</v>
      </c>
      <c r="D212" t="s">
        <v>11</v>
      </c>
      <c r="E212">
        <v>771</v>
      </c>
      <c r="F212">
        <v>26</v>
      </c>
      <c r="G212">
        <v>35</v>
      </c>
      <c r="H212">
        <v>745</v>
      </c>
      <c r="I212">
        <v>3.3722438391699092</v>
      </c>
      <c r="J212">
        <v>96.627756160830089</v>
      </c>
      <c r="K212" t="str">
        <f>_xlfn.XLOOKUP(tblProduction[[#This Row],[Product]],tblProducts[Product],tblProducts[Category],"Not Found")</f>
        <v>Precision</v>
      </c>
      <c r="L212">
        <f>_xlfn.XLOOKUP(tblProduction[[#This Row],[Product]],tblProducts[Product],tblProducts[Target_Units],"Not Found")</f>
        <v>950</v>
      </c>
    </row>
    <row r="213" spans="1:12" x14ac:dyDescent="0.3">
      <c r="A213" s="1">
        <v>46046</v>
      </c>
      <c r="B213" t="s">
        <v>17</v>
      </c>
      <c r="C213" t="s">
        <v>12</v>
      </c>
      <c r="D213" t="s">
        <v>14</v>
      </c>
      <c r="E213">
        <v>728</v>
      </c>
      <c r="F213">
        <v>31</v>
      </c>
      <c r="G213">
        <v>8</v>
      </c>
      <c r="H213">
        <v>697</v>
      </c>
      <c r="I213">
        <v>4.2582417582417582</v>
      </c>
      <c r="J213">
        <v>95.741758241758248</v>
      </c>
      <c r="K213" t="str">
        <f>_xlfn.XLOOKUP(tblProduction[[#This Row],[Product]],tblProducts[Product],tblProducts[Category],"Not Found")</f>
        <v>Assembly</v>
      </c>
      <c r="L213">
        <f>_xlfn.XLOOKUP(tblProduction[[#This Row],[Product]],tblProducts[Product],tblProducts[Target_Units],"Not Found")</f>
        <v>850</v>
      </c>
    </row>
    <row r="214" spans="1:12" x14ac:dyDescent="0.3">
      <c r="A214" s="1">
        <v>46046</v>
      </c>
      <c r="B214" t="s">
        <v>17</v>
      </c>
      <c r="C214" t="s">
        <v>13</v>
      </c>
      <c r="D214" t="s">
        <v>16</v>
      </c>
      <c r="E214">
        <v>812</v>
      </c>
      <c r="F214">
        <v>36</v>
      </c>
      <c r="G214">
        <v>2</v>
      </c>
      <c r="H214">
        <v>776</v>
      </c>
      <c r="I214">
        <v>4.4334975369458132</v>
      </c>
      <c r="J214">
        <v>95.566502463054192</v>
      </c>
      <c r="K214" t="str">
        <f>_xlfn.XLOOKUP(tblProduction[[#This Row],[Product]],tblProducts[Product],tblProducts[Category],"Not Found")</f>
        <v>Standard</v>
      </c>
      <c r="L214">
        <f>_xlfn.XLOOKUP(tblProduction[[#This Row],[Product]],tblProducts[Product],tblProducts[Target_Units],"Not Found")</f>
        <v>1000</v>
      </c>
    </row>
    <row r="215" spans="1:12" x14ac:dyDescent="0.3">
      <c r="A215" s="1">
        <v>46047</v>
      </c>
      <c r="B215" t="s">
        <v>9</v>
      </c>
      <c r="C215" t="s">
        <v>10</v>
      </c>
      <c r="D215" t="s">
        <v>16</v>
      </c>
      <c r="E215">
        <v>898</v>
      </c>
      <c r="F215">
        <v>13</v>
      </c>
      <c r="G215">
        <v>85</v>
      </c>
      <c r="H215">
        <v>885</v>
      </c>
      <c r="I215">
        <v>1.4476614699331849</v>
      </c>
      <c r="J215">
        <v>98.55233853006682</v>
      </c>
      <c r="K215" t="str">
        <f>_xlfn.XLOOKUP(tblProduction[[#This Row],[Product]],tblProducts[Product],tblProducts[Category],"Not Found")</f>
        <v>Standard</v>
      </c>
      <c r="L215">
        <f>_xlfn.XLOOKUP(tblProduction[[#This Row],[Product]],tblProducts[Product],tblProducts[Target_Units],"Not Found")</f>
        <v>1000</v>
      </c>
    </row>
    <row r="216" spans="1:12" x14ac:dyDescent="0.3">
      <c r="A216" s="1">
        <v>46047</v>
      </c>
      <c r="B216" t="s">
        <v>9</v>
      </c>
      <c r="C216" t="s">
        <v>12</v>
      </c>
      <c r="D216" t="s">
        <v>16</v>
      </c>
      <c r="E216">
        <v>1046</v>
      </c>
      <c r="F216">
        <v>15</v>
      </c>
      <c r="G216">
        <v>24</v>
      </c>
      <c r="H216">
        <v>1031</v>
      </c>
      <c r="I216">
        <v>1.434034416826004</v>
      </c>
      <c r="J216">
        <v>98.565965583173991</v>
      </c>
      <c r="K216" t="str">
        <f>_xlfn.XLOOKUP(tblProduction[[#This Row],[Product]],tblProducts[Product],tblProducts[Category],"Not Found")</f>
        <v>Standard</v>
      </c>
      <c r="L216">
        <f>_xlfn.XLOOKUP(tblProduction[[#This Row],[Product]],tblProducts[Product],tblProducts[Target_Units],"Not Found")</f>
        <v>1000</v>
      </c>
    </row>
    <row r="217" spans="1:12" x14ac:dyDescent="0.3">
      <c r="A217" s="1">
        <v>46047</v>
      </c>
      <c r="B217" t="s">
        <v>9</v>
      </c>
      <c r="C217" t="s">
        <v>13</v>
      </c>
      <c r="D217" t="s">
        <v>11</v>
      </c>
      <c r="E217">
        <v>830</v>
      </c>
      <c r="F217">
        <v>20</v>
      </c>
      <c r="G217">
        <v>45</v>
      </c>
      <c r="H217">
        <v>810</v>
      </c>
      <c r="I217">
        <v>2.4096385542168681</v>
      </c>
      <c r="J217">
        <v>97.590361445783131</v>
      </c>
      <c r="K217" t="str">
        <f>_xlfn.XLOOKUP(tblProduction[[#This Row],[Product]],tblProducts[Product],tblProducts[Category],"Not Found")</f>
        <v>Precision</v>
      </c>
      <c r="L217">
        <f>_xlfn.XLOOKUP(tblProduction[[#This Row],[Product]],tblProducts[Product],tblProducts[Target_Units],"Not Found")</f>
        <v>950</v>
      </c>
    </row>
    <row r="218" spans="1:12" x14ac:dyDescent="0.3">
      <c r="A218" s="1">
        <v>46047</v>
      </c>
      <c r="B218" t="s">
        <v>15</v>
      </c>
      <c r="C218" t="s">
        <v>10</v>
      </c>
      <c r="D218" t="s">
        <v>11</v>
      </c>
      <c r="E218">
        <v>974</v>
      </c>
      <c r="F218">
        <v>24</v>
      </c>
      <c r="G218">
        <v>0</v>
      </c>
      <c r="H218">
        <v>950</v>
      </c>
      <c r="I218">
        <v>2.4640657084188908</v>
      </c>
      <c r="J218">
        <v>97.5359342915811</v>
      </c>
      <c r="K218" t="str">
        <f>_xlfn.XLOOKUP(tblProduction[[#This Row],[Product]],tblProducts[Product],tblProducts[Category],"Not Found")</f>
        <v>Precision</v>
      </c>
      <c r="L218">
        <f>_xlfn.XLOOKUP(tblProduction[[#This Row],[Product]],tblProducts[Product],tblProducts[Target_Units],"Not Found")</f>
        <v>950</v>
      </c>
    </row>
    <row r="219" spans="1:12" x14ac:dyDescent="0.3">
      <c r="A219" s="1">
        <v>46047</v>
      </c>
      <c r="B219" t="s">
        <v>15</v>
      </c>
      <c r="C219" t="s">
        <v>12</v>
      </c>
      <c r="D219" t="s">
        <v>16</v>
      </c>
      <c r="E219">
        <v>863</v>
      </c>
      <c r="F219">
        <v>21</v>
      </c>
      <c r="G219">
        <v>49</v>
      </c>
      <c r="H219">
        <v>842</v>
      </c>
      <c r="I219">
        <v>2.4333719582850519</v>
      </c>
      <c r="J219">
        <v>97.566628041714949</v>
      </c>
      <c r="K219" t="str">
        <f>_xlfn.XLOOKUP(tblProduction[[#This Row],[Product]],tblProducts[Product],tblProducts[Category],"Not Found")</f>
        <v>Standard</v>
      </c>
      <c r="L219">
        <f>_xlfn.XLOOKUP(tblProduction[[#This Row],[Product]],tblProducts[Product],tblProducts[Target_Units],"Not Found")</f>
        <v>1000</v>
      </c>
    </row>
    <row r="220" spans="1:12" x14ac:dyDescent="0.3">
      <c r="A220" s="1">
        <v>46047</v>
      </c>
      <c r="B220" t="s">
        <v>15</v>
      </c>
      <c r="C220" t="s">
        <v>13</v>
      </c>
      <c r="D220" t="s">
        <v>16</v>
      </c>
      <c r="E220">
        <v>785</v>
      </c>
      <c r="F220">
        <v>27</v>
      </c>
      <c r="G220">
        <v>66</v>
      </c>
      <c r="H220">
        <v>758</v>
      </c>
      <c r="I220">
        <v>3.4394904458598732</v>
      </c>
      <c r="J220">
        <v>96.560509554140125</v>
      </c>
      <c r="K220" t="str">
        <f>_xlfn.XLOOKUP(tblProduction[[#This Row],[Product]],tblProducts[Product],tblProducts[Category],"Not Found")</f>
        <v>Standard</v>
      </c>
      <c r="L220">
        <f>_xlfn.XLOOKUP(tblProduction[[#This Row],[Product]],tblProducts[Product],tblProducts[Target_Units],"Not Found")</f>
        <v>1000</v>
      </c>
    </row>
    <row r="221" spans="1:12" x14ac:dyDescent="0.3">
      <c r="A221" s="1">
        <v>46047</v>
      </c>
      <c r="B221" t="s">
        <v>17</v>
      </c>
      <c r="C221" t="s">
        <v>10</v>
      </c>
      <c r="D221" t="s">
        <v>14</v>
      </c>
      <c r="E221">
        <v>684</v>
      </c>
      <c r="F221">
        <v>29</v>
      </c>
      <c r="G221">
        <v>41</v>
      </c>
      <c r="H221">
        <v>655</v>
      </c>
      <c r="I221">
        <v>4.2397660818713447</v>
      </c>
      <c r="J221">
        <v>95.760233918128662</v>
      </c>
      <c r="K221" t="str">
        <f>_xlfn.XLOOKUP(tblProduction[[#This Row],[Product]],tblProducts[Product],tblProducts[Category],"Not Found")</f>
        <v>Assembly</v>
      </c>
      <c r="L221">
        <f>_xlfn.XLOOKUP(tblProduction[[#This Row],[Product]],tblProducts[Product],tblProducts[Target_Units],"Not Found")</f>
        <v>850</v>
      </c>
    </row>
    <row r="222" spans="1:12" x14ac:dyDescent="0.3">
      <c r="A222" s="1">
        <v>46047</v>
      </c>
      <c r="B222" t="s">
        <v>17</v>
      </c>
      <c r="C222" t="s">
        <v>12</v>
      </c>
      <c r="D222" t="s">
        <v>11</v>
      </c>
      <c r="E222">
        <v>740</v>
      </c>
      <c r="F222">
        <v>25</v>
      </c>
      <c r="G222">
        <v>75</v>
      </c>
      <c r="H222">
        <v>715</v>
      </c>
      <c r="I222">
        <v>3.378378378378379</v>
      </c>
      <c r="J222">
        <v>96.621621621621628</v>
      </c>
      <c r="K222" t="str">
        <f>_xlfn.XLOOKUP(tblProduction[[#This Row],[Product]],tblProducts[Product],tblProducts[Category],"Not Found")</f>
        <v>Precision</v>
      </c>
      <c r="L222">
        <f>_xlfn.XLOOKUP(tblProduction[[#This Row],[Product]],tblProducts[Product],tblProducts[Target_Units],"Not Found")</f>
        <v>950</v>
      </c>
    </row>
    <row r="223" spans="1:12" x14ac:dyDescent="0.3">
      <c r="A223" s="1">
        <v>46047</v>
      </c>
      <c r="B223" t="s">
        <v>17</v>
      </c>
      <c r="C223" t="s">
        <v>13</v>
      </c>
      <c r="D223" t="s">
        <v>16</v>
      </c>
      <c r="E223">
        <v>754</v>
      </c>
      <c r="F223">
        <v>33</v>
      </c>
      <c r="G223">
        <v>38</v>
      </c>
      <c r="H223">
        <v>721</v>
      </c>
      <c r="I223">
        <v>4.3766578249336874</v>
      </c>
      <c r="J223">
        <v>95.623342175066313</v>
      </c>
      <c r="K223" t="str">
        <f>_xlfn.XLOOKUP(tblProduction[[#This Row],[Product]],tblProducts[Product],tblProducts[Category],"Not Found")</f>
        <v>Standard</v>
      </c>
      <c r="L223">
        <f>_xlfn.XLOOKUP(tblProduction[[#This Row],[Product]],tblProducts[Product],tblProducts[Target_Units],"Not Found")</f>
        <v>1000</v>
      </c>
    </row>
    <row r="224" spans="1:12" x14ac:dyDescent="0.3">
      <c r="A224" s="1">
        <v>46048</v>
      </c>
      <c r="B224" t="s">
        <v>9</v>
      </c>
      <c r="C224" t="s">
        <v>10</v>
      </c>
      <c r="D224" t="s">
        <v>14</v>
      </c>
      <c r="E224">
        <v>947</v>
      </c>
      <c r="F224">
        <v>21</v>
      </c>
      <c r="G224">
        <v>2</v>
      </c>
      <c r="H224">
        <v>926</v>
      </c>
      <c r="I224">
        <v>2.2175290390707501</v>
      </c>
      <c r="J224">
        <v>97.782470960929246</v>
      </c>
      <c r="K224" t="str">
        <f>_xlfn.XLOOKUP(tblProduction[[#This Row],[Product]],tblProducts[Product],tblProducts[Category],"Not Found")</f>
        <v>Assembly</v>
      </c>
      <c r="L224">
        <f>_xlfn.XLOOKUP(tblProduction[[#This Row],[Product]],tblProducts[Product],tblProducts[Target_Units],"Not Found")</f>
        <v>850</v>
      </c>
    </row>
    <row r="225" spans="1:12" x14ac:dyDescent="0.3">
      <c r="A225" s="1">
        <v>46048</v>
      </c>
      <c r="B225" t="s">
        <v>9</v>
      </c>
      <c r="C225" t="s">
        <v>12</v>
      </c>
      <c r="D225" t="s">
        <v>11</v>
      </c>
      <c r="E225">
        <v>943</v>
      </c>
      <c r="F225">
        <v>14</v>
      </c>
      <c r="G225">
        <v>20</v>
      </c>
      <c r="H225">
        <v>929</v>
      </c>
      <c r="I225">
        <v>1.484623541887593</v>
      </c>
      <c r="J225">
        <v>98.515376458112399</v>
      </c>
      <c r="K225" t="str">
        <f>_xlfn.XLOOKUP(tblProduction[[#This Row],[Product]],tblProducts[Product],tblProducts[Category],"Not Found")</f>
        <v>Precision</v>
      </c>
      <c r="L225">
        <f>_xlfn.XLOOKUP(tblProduction[[#This Row],[Product]],tblProducts[Product],tblProducts[Target_Units],"Not Found")</f>
        <v>950</v>
      </c>
    </row>
    <row r="226" spans="1:12" x14ac:dyDescent="0.3">
      <c r="A226" s="1">
        <v>46048</v>
      </c>
      <c r="B226" t="s">
        <v>9</v>
      </c>
      <c r="C226" t="s">
        <v>13</v>
      </c>
      <c r="D226" t="s">
        <v>11</v>
      </c>
      <c r="E226">
        <v>860</v>
      </c>
      <c r="F226">
        <v>21</v>
      </c>
      <c r="G226">
        <v>62</v>
      </c>
      <c r="H226">
        <v>839</v>
      </c>
      <c r="I226">
        <v>2.441860465116279</v>
      </c>
      <c r="J226">
        <v>97.558139534883722</v>
      </c>
      <c r="K226" t="str">
        <f>_xlfn.XLOOKUP(tblProduction[[#This Row],[Product]],tblProducts[Product],tblProducts[Category],"Not Found")</f>
        <v>Precision</v>
      </c>
      <c r="L226">
        <f>_xlfn.XLOOKUP(tblProduction[[#This Row],[Product]],tblProducts[Product],tblProducts[Target_Units],"Not Found")</f>
        <v>950</v>
      </c>
    </row>
    <row r="227" spans="1:12" x14ac:dyDescent="0.3">
      <c r="A227" s="1">
        <v>46048</v>
      </c>
      <c r="B227" t="s">
        <v>15</v>
      </c>
      <c r="C227" t="s">
        <v>10</v>
      </c>
      <c r="D227" t="s">
        <v>14</v>
      </c>
      <c r="E227">
        <v>792</v>
      </c>
      <c r="F227">
        <v>26</v>
      </c>
      <c r="G227">
        <v>18</v>
      </c>
      <c r="H227">
        <v>766</v>
      </c>
      <c r="I227">
        <v>3.2828282828282829</v>
      </c>
      <c r="J227">
        <v>96.717171717171709</v>
      </c>
      <c r="K227" t="str">
        <f>_xlfn.XLOOKUP(tblProduction[[#This Row],[Product]],tblProducts[Product],tblProducts[Category],"Not Found")</f>
        <v>Assembly</v>
      </c>
      <c r="L227">
        <f>_xlfn.XLOOKUP(tblProduction[[#This Row],[Product]],tblProducts[Product],tblProducts[Target_Units],"Not Found")</f>
        <v>850</v>
      </c>
    </row>
    <row r="228" spans="1:12" x14ac:dyDescent="0.3">
      <c r="A228" s="1">
        <v>46048</v>
      </c>
      <c r="B228" t="s">
        <v>15</v>
      </c>
      <c r="C228" t="s">
        <v>12</v>
      </c>
      <c r="D228" t="s">
        <v>14</v>
      </c>
      <c r="E228">
        <v>710</v>
      </c>
      <c r="F228">
        <v>23</v>
      </c>
      <c r="G228">
        <v>72</v>
      </c>
      <c r="H228">
        <v>687</v>
      </c>
      <c r="I228">
        <v>3.23943661971831</v>
      </c>
      <c r="J228">
        <v>96.760563380281695</v>
      </c>
      <c r="K228" t="str">
        <f>_xlfn.XLOOKUP(tblProduction[[#This Row],[Product]],tblProducts[Product],tblProducts[Category],"Not Found")</f>
        <v>Assembly</v>
      </c>
      <c r="L228">
        <f>_xlfn.XLOOKUP(tblProduction[[#This Row],[Product]],tblProducts[Product],tblProducts[Target_Units],"Not Found")</f>
        <v>850</v>
      </c>
    </row>
    <row r="229" spans="1:12" x14ac:dyDescent="0.3">
      <c r="A229" s="1">
        <v>46048</v>
      </c>
      <c r="B229" t="s">
        <v>15</v>
      </c>
      <c r="C229" t="s">
        <v>13</v>
      </c>
      <c r="D229" t="s">
        <v>16</v>
      </c>
      <c r="E229">
        <v>809</v>
      </c>
      <c r="F229">
        <v>28</v>
      </c>
      <c r="G229">
        <v>55</v>
      </c>
      <c r="H229">
        <v>781</v>
      </c>
      <c r="I229">
        <v>3.4610630407911001</v>
      </c>
      <c r="J229">
        <v>96.538936959208897</v>
      </c>
      <c r="K229" t="str">
        <f>_xlfn.XLOOKUP(tblProduction[[#This Row],[Product]],tblProducts[Product],tblProducts[Category],"Not Found")</f>
        <v>Standard</v>
      </c>
      <c r="L229">
        <f>_xlfn.XLOOKUP(tblProduction[[#This Row],[Product]],tblProducts[Product],tblProducts[Target_Units],"Not Found")</f>
        <v>1000</v>
      </c>
    </row>
    <row r="230" spans="1:12" x14ac:dyDescent="0.3">
      <c r="A230" s="1">
        <v>46048</v>
      </c>
      <c r="B230" t="s">
        <v>17</v>
      </c>
      <c r="C230" t="s">
        <v>10</v>
      </c>
      <c r="D230" t="s">
        <v>16</v>
      </c>
      <c r="E230">
        <v>861</v>
      </c>
      <c r="F230">
        <v>30</v>
      </c>
      <c r="G230">
        <v>3</v>
      </c>
      <c r="H230">
        <v>831</v>
      </c>
      <c r="I230">
        <v>3.484320557491289</v>
      </c>
      <c r="J230">
        <v>96.515679442508713</v>
      </c>
      <c r="K230" t="str">
        <f>_xlfn.XLOOKUP(tblProduction[[#This Row],[Product]],tblProducts[Product],tblProducts[Category],"Not Found")</f>
        <v>Standard</v>
      </c>
      <c r="L230">
        <f>_xlfn.XLOOKUP(tblProduction[[#This Row],[Product]],tblProducts[Product],tblProducts[Target_Units],"Not Found")</f>
        <v>1000</v>
      </c>
    </row>
    <row r="231" spans="1:12" x14ac:dyDescent="0.3">
      <c r="A231" s="1">
        <v>46048</v>
      </c>
      <c r="B231" t="s">
        <v>17</v>
      </c>
      <c r="C231" t="s">
        <v>12</v>
      </c>
      <c r="D231" t="s">
        <v>16</v>
      </c>
      <c r="E231">
        <v>837</v>
      </c>
      <c r="F231">
        <v>29</v>
      </c>
      <c r="G231">
        <v>33</v>
      </c>
      <c r="H231">
        <v>808</v>
      </c>
      <c r="I231">
        <v>3.4647550776583032</v>
      </c>
      <c r="J231">
        <v>96.535244922341704</v>
      </c>
      <c r="K231" t="str">
        <f>_xlfn.XLOOKUP(tblProduction[[#This Row],[Product]],tblProducts[Product],tblProducts[Category],"Not Found")</f>
        <v>Standard</v>
      </c>
      <c r="L231">
        <f>_xlfn.XLOOKUP(tblProduction[[#This Row],[Product]],tblProducts[Product],tblProducts[Target_Units],"Not Found")</f>
        <v>1000</v>
      </c>
    </row>
    <row r="232" spans="1:12" x14ac:dyDescent="0.3">
      <c r="A232" s="1">
        <v>46049</v>
      </c>
      <c r="B232" t="s">
        <v>9</v>
      </c>
      <c r="C232" t="s">
        <v>10</v>
      </c>
      <c r="D232" t="s">
        <v>18</v>
      </c>
      <c r="E232">
        <v>948</v>
      </c>
      <c r="F232">
        <v>14</v>
      </c>
      <c r="G232">
        <v>10</v>
      </c>
      <c r="H232">
        <v>934</v>
      </c>
      <c r="I232">
        <v>1.4767932489451481</v>
      </c>
      <c r="J232">
        <v>98.523206751054843</v>
      </c>
      <c r="K232" t="str">
        <f>_xlfn.XLOOKUP(tblProduction[[#This Row],[Product]],tblProducts[Product],tblProducts[Category],"Not Found")</f>
        <v>Assembly</v>
      </c>
      <c r="L232">
        <f>_xlfn.XLOOKUP(tblProduction[[#This Row],[Product]],tblProducts[Product],tblProducts[Target_Units],"Not Found")</f>
        <v>900</v>
      </c>
    </row>
    <row r="233" spans="1:12" x14ac:dyDescent="0.3">
      <c r="A233" s="1">
        <v>46049</v>
      </c>
      <c r="B233" t="s">
        <v>9</v>
      </c>
      <c r="C233" t="s">
        <v>12</v>
      </c>
      <c r="D233" t="s">
        <v>16</v>
      </c>
      <c r="E233">
        <v>945</v>
      </c>
      <c r="F233">
        <v>14</v>
      </c>
      <c r="G233">
        <v>44</v>
      </c>
      <c r="H233">
        <v>931</v>
      </c>
      <c r="I233">
        <v>1.4814814814814821</v>
      </c>
      <c r="J233">
        <v>98.518518518518519</v>
      </c>
      <c r="K233" t="str">
        <f>_xlfn.XLOOKUP(tblProduction[[#This Row],[Product]],tblProducts[Product],tblProducts[Category],"Not Found")</f>
        <v>Standard</v>
      </c>
      <c r="L233">
        <f>_xlfn.XLOOKUP(tblProduction[[#This Row],[Product]],tblProducts[Product],tblProducts[Target_Units],"Not Found")</f>
        <v>1000</v>
      </c>
    </row>
    <row r="234" spans="1:12" x14ac:dyDescent="0.3">
      <c r="A234" s="1">
        <v>46049</v>
      </c>
      <c r="B234" t="s">
        <v>9</v>
      </c>
      <c r="C234" t="s">
        <v>13</v>
      </c>
      <c r="D234" t="s">
        <v>18</v>
      </c>
      <c r="E234">
        <v>778</v>
      </c>
      <c r="F234">
        <v>19</v>
      </c>
      <c r="G234">
        <v>77</v>
      </c>
      <c r="H234">
        <v>759</v>
      </c>
      <c r="I234">
        <v>2.442159383033419</v>
      </c>
      <c r="J234">
        <v>97.557840616966587</v>
      </c>
      <c r="K234" t="str">
        <f>_xlfn.XLOOKUP(tblProduction[[#This Row],[Product]],tblProducts[Product],tblProducts[Category],"Not Found")</f>
        <v>Assembly</v>
      </c>
      <c r="L234">
        <f>_xlfn.XLOOKUP(tblProduction[[#This Row],[Product]],tblProducts[Product],tblProducts[Target_Units],"Not Found")</f>
        <v>900</v>
      </c>
    </row>
    <row r="235" spans="1:12" x14ac:dyDescent="0.3">
      <c r="A235" s="1">
        <v>46049</v>
      </c>
      <c r="B235" t="s">
        <v>15</v>
      </c>
      <c r="C235" t="s">
        <v>10</v>
      </c>
      <c r="D235" t="s">
        <v>16</v>
      </c>
      <c r="E235">
        <v>907</v>
      </c>
      <c r="F235">
        <v>22</v>
      </c>
      <c r="G235">
        <v>60</v>
      </c>
      <c r="H235">
        <v>885</v>
      </c>
      <c r="I235">
        <v>2.4255788313120181</v>
      </c>
      <c r="J235">
        <v>97.574421168687991</v>
      </c>
      <c r="K235" t="str">
        <f>_xlfn.XLOOKUP(tblProduction[[#This Row],[Product]],tblProducts[Product],tblProducts[Category],"Not Found")</f>
        <v>Standard</v>
      </c>
      <c r="L235">
        <f>_xlfn.XLOOKUP(tblProduction[[#This Row],[Product]],tblProducts[Product],tblProducts[Target_Units],"Not Found")</f>
        <v>1000</v>
      </c>
    </row>
    <row r="236" spans="1:12" x14ac:dyDescent="0.3">
      <c r="A236" s="1">
        <v>46049</v>
      </c>
      <c r="B236" t="s">
        <v>9</v>
      </c>
      <c r="C236" t="s">
        <v>12</v>
      </c>
      <c r="D236" t="s">
        <v>16</v>
      </c>
      <c r="E236">
        <v>894</v>
      </c>
      <c r="F236">
        <v>22</v>
      </c>
      <c r="G236">
        <v>9</v>
      </c>
      <c r="H236">
        <v>872</v>
      </c>
      <c r="I236">
        <v>2.4608501118568231</v>
      </c>
      <c r="J236">
        <v>97.539149888143172</v>
      </c>
      <c r="K236" t="str">
        <f>_xlfn.XLOOKUP(tblProduction[[#This Row],[Product]],tblProducts[Product],tblProducts[Category],"Not Found")</f>
        <v>Standard</v>
      </c>
      <c r="L236">
        <f>_xlfn.XLOOKUP(tblProduction[[#This Row],[Product]],tblProducts[Product],tblProducts[Target_Units],"Not Found")</f>
        <v>1000</v>
      </c>
    </row>
    <row r="237" spans="1:12" x14ac:dyDescent="0.3">
      <c r="A237" s="1">
        <v>46049</v>
      </c>
      <c r="B237" t="s">
        <v>15</v>
      </c>
      <c r="C237" t="s">
        <v>13</v>
      </c>
      <c r="D237" t="s">
        <v>16</v>
      </c>
      <c r="E237">
        <v>784</v>
      </c>
      <c r="F237">
        <v>27</v>
      </c>
      <c r="G237">
        <v>45</v>
      </c>
      <c r="H237">
        <v>757</v>
      </c>
      <c r="I237">
        <v>3.443877551020408</v>
      </c>
      <c r="J237">
        <v>96.556122448979593</v>
      </c>
      <c r="K237" t="str">
        <f>_xlfn.XLOOKUP(tblProduction[[#This Row],[Product]],tblProducts[Product],tblProducts[Category],"Not Found")</f>
        <v>Standard</v>
      </c>
      <c r="L237">
        <f>_xlfn.XLOOKUP(tblProduction[[#This Row],[Product]],tblProducts[Product],tblProducts[Target_Units],"Not Found")</f>
        <v>1000</v>
      </c>
    </row>
    <row r="238" spans="1:12" x14ac:dyDescent="0.3">
      <c r="A238" s="1">
        <v>46049</v>
      </c>
      <c r="B238" t="s">
        <v>17</v>
      </c>
      <c r="C238" t="s">
        <v>10</v>
      </c>
      <c r="D238" t="s">
        <v>11</v>
      </c>
      <c r="E238">
        <v>817</v>
      </c>
      <c r="F238">
        <v>28</v>
      </c>
      <c r="G238">
        <v>16</v>
      </c>
      <c r="H238">
        <v>789</v>
      </c>
      <c r="I238">
        <v>3.4271725826193391</v>
      </c>
      <c r="J238">
        <v>96.572827417380651</v>
      </c>
      <c r="K238" t="str">
        <f>_xlfn.XLOOKUP(tblProduction[[#This Row],[Product]],tblProducts[Product],tblProducts[Category],"Not Found")</f>
        <v>Precision</v>
      </c>
      <c r="L238">
        <f>_xlfn.XLOOKUP(tblProduction[[#This Row],[Product]],tblProducts[Product],tblProducts[Target_Units],"Not Found")</f>
        <v>950</v>
      </c>
    </row>
    <row r="239" spans="1:12" x14ac:dyDescent="0.3">
      <c r="A239" s="1">
        <v>46049</v>
      </c>
      <c r="B239" t="s">
        <v>17</v>
      </c>
      <c r="C239" t="s">
        <v>12</v>
      </c>
      <c r="D239" t="s">
        <v>16</v>
      </c>
      <c r="E239">
        <v>767</v>
      </c>
      <c r="F239">
        <v>26</v>
      </c>
      <c r="G239">
        <v>62</v>
      </c>
      <c r="H239">
        <v>741</v>
      </c>
      <c r="I239">
        <v>3.3898305084745761</v>
      </c>
      <c r="J239">
        <v>96.610169491525426</v>
      </c>
      <c r="K239" t="str">
        <f>_xlfn.XLOOKUP(tblProduction[[#This Row],[Product]],tblProducts[Product],tblProducts[Category],"Not Found")</f>
        <v>Standard</v>
      </c>
      <c r="L239">
        <f>_xlfn.XLOOKUP(tblProduction[[#This Row],[Product]],tblProducts[Product],tblProducts[Target_Units],"Not Found")</f>
        <v>1000</v>
      </c>
    </row>
    <row r="240" spans="1:12" x14ac:dyDescent="0.3">
      <c r="A240" s="1">
        <v>46049</v>
      </c>
      <c r="B240" t="s">
        <v>17</v>
      </c>
      <c r="C240" t="s">
        <v>13</v>
      </c>
      <c r="D240" t="s">
        <v>16</v>
      </c>
      <c r="E240">
        <v>775</v>
      </c>
      <c r="F240">
        <v>34</v>
      </c>
      <c r="G240">
        <v>5</v>
      </c>
      <c r="H240">
        <v>741</v>
      </c>
      <c r="I240">
        <v>4.387096774193548</v>
      </c>
      <c r="J240">
        <v>95.612903225806463</v>
      </c>
      <c r="K240" t="str">
        <f>_xlfn.XLOOKUP(tblProduction[[#This Row],[Product]],tblProducts[Product],tblProducts[Category],"Not Found")</f>
        <v>Standard</v>
      </c>
      <c r="L240">
        <f>_xlfn.XLOOKUP(tblProduction[[#This Row],[Product]],tblProducts[Product],tblProducts[Target_Units],"Not Found")</f>
        <v>1000</v>
      </c>
    </row>
    <row r="241" spans="1:12" x14ac:dyDescent="0.3">
      <c r="A241" s="1">
        <v>46050</v>
      </c>
      <c r="B241" t="s">
        <v>9</v>
      </c>
      <c r="C241" t="s">
        <v>10</v>
      </c>
      <c r="D241" t="s">
        <v>16</v>
      </c>
      <c r="E241">
        <v>1097</v>
      </c>
      <c r="F241">
        <v>16</v>
      </c>
      <c r="G241">
        <v>25</v>
      </c>
      <c r="H241">
        <v>1081</v>
      </c>
      <c r="I241">
        <v>1.4585232452142201</v>
      </c>
      <c r="J241">
        <v>98.541476754785791</v>
      </c>
      <c r="K241" t="str">
        <f>_xlfn.XLOOKUP(tblProduction[[#This Row],[Product]],tblProducts[Product],tblProducts[Category],"Not Found")</f>
        <v>Standard</v>
      </c>
      <c r="L241">
        <f>_xlfn.XLOOKUP(tblProduction[[#This Row],[Product]],tblProducts[Product],tblProducts[Target_Units],"Not Found")</f>
        <v>1000</v>
      </c>
    </row>
    <row r="242" spans="1:12" x14ac:dyDescent="0.3">
      <c r="A242" s="1">
        <v>46050</v>
      </c>
      <c r="B242" t="s">
        <v>9</v>
      </c>
      <c r="C242" t="s">
        <v>12</v>
      </c>
      <c r="D242" t="s">
        <v>11</v>
      </c>
      <c r="E242">
        <v>906</v>
      </c>
      <c r="F242">
        <v>13</v>
      </c>
      <c r="G242">
        <v>55</v>
      </c>
      <c r="H242">
        <v>893</v>
      </c>
      <c r="I242">
        <v>1.434878587196468</v>
      </c>
      <c r="J242">
        <v>98.565121412803535</v>
      </c>
      <c r="K242" t="str">
        <f>_xlfn.XLOOKUP(tblProduction[[#This Row],[Product]],tblProducts[Product],tblProducts[Category],"Not Found")</f>
        <v>Precision</v>
      </c>
      <c r="L242">
        <f>_xlfn.XLOOKUP(tblProduction[[#This Row],[Product]],tblProducts[Product],tblProducts[Target_Units],"Not Found")</f>
        <v>950</v>
      </c>
    </row>
    <row r="243" spans="1:12" x14ac:dyDescent="0.3">
      <c r="A243" s="1">
        <v>46050</v>
      </c>
      <c r="B243" t="s">
        <v>9</v>
      </c>
      <c r="C243" t="s">
        <v>13</v>
      </c>
      <c r="D243" t="s">
        <v>11</v>
      </c>
      <c r="E243">
        <v>859</v>
      </c>
      <c r="F243">
        <v>21</v>
      </c>
      <c r="G243">
        <v>38</v>
      </c>
      <c r="H243">
        <v>838</v>
      </c>
      <c r="I243">
        <v>2.4447031431897561</v>
      </c>
      <c r="J243">
        <v>97.555296856810244</v>
      </c>
      <c r="K243" t="str">
        <f>_xlfn.XLOOKUP(tblProduction[[#This Row],[Product]],tblProducts[Product],tblProducts[Category],"Not Found")</f>
        <v>Precision</v>
      </c>
      <c r="L243">
        <f>_xlfn.XLOOKUP(tblProduction[[#This Row],[Product]],tblProducts[Product],tblProducts[Target_Units],"Not Found")</f>
        <v>950</v>
      </c>
    </row>
    <row r="244" spans="1:12" x14ac:dyDescent="0.3">
      <c r="A244" s="1">
        <v>46050</v>
      </c>
      <c r="B244" t="s">
        <v>15</v>
      </c>
      <c r="C244" t="s">
        <v>10</v>
      </c>
      <c r="D244" t="s">
        <v>16</v>
      </c>
      <c r="E244">
        <v>973</v>
      </c>
      <c r="F244">
        <v>24</v>
      </c>
      <c r="G244">
        <v>23</v>
      </c>
      <c r="H244">
        <v>949</v>
      </c>
      <c r="I244">
        <v>2.4665981500513872</v>
      </c>
      <c r="J244">
        <v>97.533401849948604</v>
      </c>
      <c r="K244" t="str">
        <f>_xlfn.XLOOKUP(tblProduction[[#This Row],[Product]],tblProducts[Product],tblProducts[Category],"Not Found")</f>
        <v>Standard</v>
      </c>
      <c r="L244">
        <f>_xlfn.XLOOKUP(tblProduction[[#This Row],[Product]],tblProducts[Product],tblProducts[Target_Units],"Not Found")</f>
        <v>1000</v>
      </c>
    </row>
    <row r="245" spans="1:12" x14ac:dyDescent="0.3">
      <c r="A245" s="1">
        <v>46050</v>
      </c>
      <c r="B245" t="s">
        <v>15</v>
      </c>
      <c r="C245" t="s">
        <v>12</v>
      </c>
      <c r="D245" t="s">
        <v>11</v>
      </c>
      <c r="E245">
        <v>800</v>
      </c>
      <c r="F245">
        <v>20</v>
      </c>
      <c r="G245">
        <v>63</v>
      </c>
      <c r="H245">
        <v>780</v>
      </c>
      <c r="I245">
        <v>2.5</v>
      </c>
      <c r="J245">
        <v>97.5</v>
      </c>
      <c r="K245" t="str">
        <f>_xlfn.XLOOKUP(tblProduction[[#This Row],[Product]],tblProducts[Product],tblProducts[Category],"Not Found")</f>
        <v>Precision</v>
      </c>
      <c r="L245">
        <f>_xlfn.XLOOKUP(tblProduction[[#This Row],[Product]],tblProducts[Product],tblProducts[Target_Units],"Not Found")</f>
        <v>950</v>
      </c>
    </row>
    <row r="246" spans="1:12" x14ac:dyDescent="0.3">
      <c r="A246" s="1">
        <v>46050</v>
      </c>
      <c r="B246" t="s">
        <v>15</v>
      </c>
      <c r="C246" t="s">
        <v>13</v>
      </c>
      <c r="D246" t="s">
        <v>16</v>
      </c>
      <c r="E246">
        <v>904</v>
      </c>
      <c r="F246">
        <v>31</v>
      </c>
      <c r="G246">
        <v>9</v>
      </c>
      <c r="H246">
        <v>873</v>
      </c>
      <c r="I246">
        <v>3.4292035398230092</v>
      </c>
      <c r="J246">
        <v>96.570796460176993</v>
      </c>
      <c r="K246" t="str">
        <f>_xlfn.XLOOKUP(tblProduction[[#This Row],[Product]],tblProducts[Product],tblProducts[Category],"Not Found")</f>
        <v>Standard</v>
      </c>
      <c r="L246">
        <f>_xlfn.XLOOKUP(tblProduction[[#This Row],[Product]],tblProducts[Product],tblProducts[Target_Units],"Not Found")</f>
        <v>1000</v>
      </c>
    </row>
    <row r="247" spans="1:12" x14ac:dyDescent="0.3">
      <c r="A247" s="1">
        <v>46050</v>
      </c>
      <c r="B247" t="s">
        <v>17</v>
      </c>
      <c r="C247" t="s">
        <v>10</v>
      </c>
      <c r="D247" t="s">
        <v>18</v>
      </c>
      <c r="E247">
        <v>809</v>
      </c>
      <c r="F247">
        <v>28</v>
      </c>
      <c r="G247">
        <v>18</v>
      </c>
      <c r="H247">
        <v>781</v>
      </c>
      <c r="I247">
        <v>3.4610630407911001</v>
      </c>
      <c r="J247">
        <v>96.538936959208897</v>
      </c>
      <c r="K247" t="str">
        <f>_xlfn.XLOOKUP(tblProduction[[#This Row],[Product]],tblProducts[Product],tblProducts[Category],"Not Found")</f>
        <v>Assembly</v>
      </c>
      <c r="L247">
        <f>_xlfn.XLOOKUP(tblProduction[[#This Row],[Product]],tblProducts[Product],tblProducts[Target_Units],"Not Found")</f>
        <v>900</v>
      </c>
    </row>
    <row r="248" spans="1:12" x14ac:dyDescent="0.3">
      <c r="A248" s="1">
        <v>46050</v>
      </c>
      <c r="B248" t="s">
        <v>17</v>
      </c>
      <c r="C248" t="s">
        <v>12</v>
      </c>
      <c r="D248" t="s">
        <v>14</v>
      </c>
      <c r="E248">
        <v>712</v>
      </c>
      <c r="F248">
        <v>30</v>
      </c>
      <c r="G248">
        <v>25</v>
      </c>
      <c r="H248">
        <v>682</v>
      </c>
      <c r="I248">
        <v>4.213483146067416</v>
      </c>
      <c r="J248">
        <v>95.786516853932582</v>
      </c>
      <c r="K248" t="str">
        <f>_xlfn.XLOOKUP(tblProduction[[#This Row],[Product]],tblProducts[Product],tblProducts[Category],"Not Found")</f>
        <v>Assembly</v>
      </c>
      <c r="L248">
        <f>_xlfn.XLOOKUP(tblProduction[[#This Row],[Product]],tblProducts[Product],tblProducts[Target_Units],"Not Found")</f>
        <v>850</v>
      </c>
    </row>
    <row r="249" spans="1:12" x14ac:dyDescent="0.3">
      <c r="A249" s="1">
        <v>46050</v>
      </c>
      <c r="B249" t="s">
        <v>17</v>
      </c>
      <c r="C249" t="s">
        <v>13</v>
      </c>
      <c r="D249" t="s">
        <v>18</v>
      </c>
      <c r="E249">
        <v>723</v>
      </c>
      <c r="F249">
        <v>32</v>
      </c>
      <c r="G249">
        <v>8</v>
      </c>
      <c r="H249">
        <v>691</v>
      </c>
      <c r="I249">
        <v>4.4260027662517292</v>
      </c>
      <c r="J249">
        <v>95.573997233748273</v>
      </c>
      <c r="K249" t="str">
        <f>_xlfn.XLOOKUP(tblProduction[[#This Row],[Product]],tblProducts[Product],tblProducts[Category],"Not Found")</f>
        <v>Assembly</v>
      </c>
      <c r="L249">
        <f>_xlfn.XLOOKUP(tblProduction[[#This Row],[Product]],tblProducts[Product],tblProducts[Target_Units],"Not Found")</f>
        <v>900</v>
      </c>
    </row>
    <row r="250" spans="1:12" x14ac:dyDescent="0.3">
      <c r="A250" s="1">
        <v>46051</v>
      </c>
      <c r="B250" t="s">
        <v>9</v>
      </c>
      <c r="C250" t="s">
        <v>10</v>
      </c>
      <c r="D250" t="s">
        <v>16</v>
      </c>
      <c r="E250">
        <v>950</v>
      </c>
      <c r="F250">
        <v>14</v>
      </c>
      <c r="G250">
        <v>83</v>
      </c>
      <c r="H250">
        <v>936</v>
      </c>
      <c r="I250">
        <v>1.4736842105263159</v>
      </c>
      <c r="J250">
        <v>98.526315789473685</v>
      </c>
      <c r="K250" t="str">
        <f>_xlfn.XLOOKUP(tblProduction[[#This Row],[Product]],tblProducts[Product],tblProducts[Category],"Not Found")</f>
        <v>Standard</v>
      </c>
      <c r="L250">
        <f>_xlfn.XLOOKUP(tblProduction[[#This Row],[Product]],tblProducts[Product],tblProducts[Target_Units],"Not Found")</f>
        <v>1000</v>
      </c>
    </row>
    <row r="251" spans="1:12" x14ac:dyDescent="0.3">
      <c r="A251" s="1">
        <v>46051</v>
      </c>
      <c r="B251" t="s">
        <v>9</v>
      </c>
      <c r="C251" t="s">
        <v>12</v>
      </c>
      <c r="D251" t="s">
        <v>18</v>
      </c>
      <c r="E251">
        <v>960</v>
      </c>
      <c r="F251">
        <v>14</v>
      </c>
      <c r="G251">
        <v>12</v>
      </c>
      <c r="H251">
        <v>946</v>
      </c>
      <c r="I251">
        <v>1.458333333333333</v>
      </c>
      <c r="J251">
        <v>98.541666666666671</v>
      </c>
      <c r="K251" t="str">
        <f>_xlfn.XLOOKUP(tblProduction[[#This Row],[Product]],tblProducts[Product],tblProducts[Category],"Not Found")</f>
        <v>Assembly</v>
      </c>
      <c r="L251">
        <f>_xlfn.XLOOKUP(tblProduction[[#This Row],[Product]],tblProducts[Product],tblProducts[Target_Units],"Not Found")</f>
        <v>900</v>
      </c>
    </row>
    <row r="252" spans="1:12" x14ac:dyDescent="0.3">
      <c r="A252" s="1">
        <v>46051</v>
      </c>
      <c r="B252" t="s">
        <v>9</v>
      </c>
      <c r="C252" t="s">
        <v>13</v>
      </c>
      <c r="D252" t="s">
        <v>14</v>
      </c>
      <c r="E252">
        <v>779</v>
      </c>
      <c r="F252">
        <v>25</v>
      </c>
      <c r="G252">
        <v>28</v>
      </c>
      <c r="H252">
        <v>754</v>
      </c>
      <c r="I252">
        <v>3.2092426187419769</v>
      </c>
      <c r="J252">
        <v>96.790757381258018</v>
      </c>
      <c r="K252" t="str">
        <f>_xlfn.XLOOKUP(tblProduction[[#This Row],[Product]],tblProducts[Product],tblProducts[Category],"Not Found")</f>
        <v>Assembly</v>
      </c>
      <c r="L252">
        <f>_xlfn.XLOOKUP(tblProduction[[#This Row],[Product]],tblProducts[Product],tblProducts[Target_Units],"Not Found")</f>
        <v>850</v>
      </c>
    </row>
    <row r="253" spans="1:12" x14ac:dyDescent="0.3">
      <c r="A253" s="1">
        <v>46051</v>
      </c>
      <c r="B253" t="s">
        <v>15</v>
      </c>
      <c r="C253" t="s">
        <v>10</v>
      </c>
      <c r="D253" t="s">
        <v>11</v>
      </c>
      <c r="E253">
        <v>910</v>
      </c>
      <c r="F253">
        <v>22</v>
      </c>
      <c r="G253">
        <v>29</v>
      </c>
      <c r="H253">
        <v>888</v>
      </c>
      <c r="I253">
        <v>2.4175824175824179</v>
      </c>
      <c r="J253">
        <v>97.582417582417577</v>
      </c>
      <c r="K253" t="str">
        <f>_xlfn.XLOOKUP(tblProduction[[#This Row],[Product]],tblProducts[Product],tblProducts[Category],"Not Found")</f>
        <v>Precision</v>
      </c>
      <c r="L253">
        <f>_xlfn.XLOOKUP(tblProduction[[#This Row],[Product]],tblProducts[Product],tblProducts[Target_Units],"Not Found")</f>
        <v>950</v>
      </c>
    </row>
    <row r="254" spans="1:12" x14ac:dyDescent="0.3">
      <c r="A254" s="1">
        <v>46051</v>
      </c>
      <c r="B254" t="s">
        <v>15</v>
      </c>
      <c r="C254" t="s">
        <v>12</v>
      </c>
      <c r="D254" t="s">
        <v>18</v>
      </c>
      <c r="E254">
        <v>773</v>
      </c>
      <c r="F254">
        <v>19</v>
      </c>
      <c r="G254">
        <v>75</v>
      </c>
      <c r="H254">
        <v>754</v>
      </c>
      <c r="I254">
        <v>2.4579560155239331</v>
      </c>
      <c r="J254">
        <v>97.542043984476066</v>
      </c>
      <c r="K254" t="str">
        <f>_xlfn.XLOOKUP(tblProduction[[#This Row],[Product]],tblProducts[Product],tblProducts[Category],"Not Found")</f>
        <v>Assembly</v>
      </c>
      <c r="L254">
        <f>_xlfn.XLOOKUP(tblProduction[[#This Row],[Product]],tblProducts[Product],tblProducts[Target_Units],"Not Found")</f>
        <v>900</v>
      </c>
    </row>
    <row r="255" spans="1:12" x14ac:dyDescent="0.3">
      <c r="A255" s="1">
        <v>46051</v>
      </c>
      <c r="B255" t="s">
        <v>15</v>
      </c>
      <c r="C255" t="s">
        <v>13</v>
      </c>
      <c r="D255" t="s">
        <v>14</v>
      </c>
      <c r="E255">
        <v>717</v>
      </c>
      <c r="F255">
        <v>30</v>
      </c>
      <c r="G255">
        <v>48</v>
      </c>
      <c r="H255">
        <v>687</v>
      </c>
      <c r="I255">
        <v>4.1841004184100417</v>
      </c>
      <c r="J255">
        <v>95.81589958158996</v>
      </c>
      <c r="K255" t="str">
        <f>_xlfn.XLOOKUP(tblProduction[[#This Row],[Product]],tblProducts[Product],tblProducts[Category],"Not Found")</f>
        <v>Assembly</v>
      </c>
      <c r="L255">
        <f>_xlfn.XLOOKUP(tblProduction[[#This Row],[Product]],tblProducts[Product],tblProducts[Target_Units],"Not Found")</f>
        <v>850</v>
      </c>
    </row>
    <row r="256" spans="1:12" x14ac:dyDescent="0.3">
      <c r="A256" s="1">
        <v>46051</v>
      </c>
      <c r="B256" t="s">
        <v>17</v>
      </c>
      <c r="C256" t="s">
        <v>10</v>
      </c>
      <c r="D256" t="s">
        <v>16</v>
      </c>
      <c r="E256">
        <v>845</v>
      </c>
      <c r="F256">
        <v>29</v>
      </c>
      <c r="G256">
        <v>16</v>
      </c>
      <c r="H256">
        <v>816</v>
      </c>
      <c r="I256">
        <v>3.4319526627218928</v>
      </c>
      <c r="J256">
        <v>96.568047337278102</v>
      </c>
      <c r="K256" t="str">
        <f>_xlfn.XLOOKUP(tblProduction[[#This Row],[Product]],tblProducts[Product],tblProducts[Category],"Not Found")</f>
        <v>Standard</v>
      </c>
      <c r="L256">
        <f>_xlfn.XLOOKUP(tblProduction[[#This Row],[Product]],tblProducts[Product],tblProducts[Target_Units],"Not Found")</f>
        <v>1000</v>
      </c>
    </row>
    <row r="257" spans="1:12" x14ac:dyDescent="0.3">
      <c r="A257" s="1">
        <v>46051</v>
      </c>
      <c r="B257" t="s">
        <v>17</v>
      </c>
      <c r="C257" t="s">
        <v>12</v>
      </c>
      <c r="D257" t="s">
        <v>16</v>
      </c>
      <c r="E257">
        <v>797</v>
      </c>
      <c r="F257">
        <v>27</v>
      </c>
      <c r="G257">
        <v>53</v>
      </c>
      <c r="H257">
        <v>770</v>
      </c>
      <c r="I257">
        <v>3.3877038895859481</v>
      </c>
      <c r="J257">
        <v>96.61229611041405</v>
      </c>
      <c r="K257" t="str">
        <f>_xlfn.XLOOKUP(tblProduction[[#This Row],[Product]],tblProducts[Product],tblProducts[Category],"Not Found")</f>
        <v>Standard</v>
      </c>
      <c r="L257">
        <f>_xlfn.XLOOKUP(tblProduction[[#This Row],[Product]],tblProducts[Product],tblProducts[Target_Units],"Not Found")</f>
        <v>1000</v>
      </c>
    </row>
    <row r="258" spans="1:12" x14ac:dyDescent="0.3">
      <c r="A258" s="1">
        <v>46051</v>
      </c>
      <c r="B258" t="s">
        <v>17</v>
      </c>
      <c r="C258" t="s">
        <v>13</v>
      </c>
      <c r="D258" t="s">
        <v>18</v>
      </c>
      <c r="E258">
        <v>657</v>
      </c>
      <c r="F258">
        <v>29</v>
      </c>
      <c r="G258">
        <v>21</v>
      </c>
      <c r="H258">
        <v>628</v>
      </c>
      <c r="I258">
        <v>4.4140030441400304</v>
      </c>
      <c r="J258">
        <v>95.585996955859969</v>
      </c>
      <c r="K258" t="str">
        <f>_xlfn.XLOOKUP(tblProduction[[#This Row],[Product]],tblProducts[Product],tblProducts[Category],"Not Found")</f>
        <v>Assembly</v>
      </c>
      <c r="L258">
        <f>_xlfn.XLOOKUP(tblProduction[[#This Row],[Product]],tblProducts[Product],tblProducts[Target_Units],"Not Found")</f>
        <v>900</v>
      </c>
    </row>
    <row r="259" spans="1:12" x14ac:dyDescent="0.3">
      <c r="A259" s="1">
        <v>46052</v>
      </c>
      <c r="B259" t="s">
        <v>9</v>
      </c>
      <c r="C259" t="s">
        <v>10</v>
      </c>
      <c r="D259" t="s">
        <v>16</v>
      </c>
      <c r="E259">
        <v>1115</v>
      </c>
      <c r="F259">
        <v>16</v>
      </c>
      <c r="G259">
        <v>18</v>
      </c>
      <c r="H259">
        <v>1099</v>
      </c>
      <c r="I259">
        <v>1.434977578475336</v>
      </c>
      <c r="J259">
        <v>98.56502242152466</v>
      </c>
      <c r="K259" t="str">
        <f>_xlfn.XLOOKUP(tblProduction[[#This Row],[Product]],tblProducts[Product],tblProducts[Category],"Not Found")</f>
        <v>Standard</v>
      </c>
      <c r="L259">
        <f>_xlfn.XLOOKUP(tblProduction[[#This Row],[Product]],tblProducts[Product],tblProducts[Target_Units],"Not Found")</f>
        <v>1000</v>
      </c>
    </row>
    <row r="260" spans="1:12" x14ac:dyDescent="0.3">
      <c r="A260" s="1">
        <v>46052</v>
      </c>
      <c r="B260" t="s">
        <v>9</v>
      </c>
      <c r="C260" t="s">
        <v>12</v>
      </c>
      <c r="D260" t="s">
        <v>16</v>
      </c>
      <c r="E260">
        <v>920</v>
      </c>
      <c r="F260">
        <v>13</v>
      </c>
      <c r="G260">
        <v>82</v>
      </c>
      <c r="H260">
        <v>907</v>
      </c>
      <c r="I260">
        <v>1.4130434782608701</v>
      </c>
      <c r="J260">
        <v>98.58695652173914</v>
      </c>
      <c r="K260" t="str">
        <f>_xlfn.XLOOKUP(tblProduction[[#This Row],[Product]],tblProducts[Product],tblProducts[Category],"Not Found")</f>
        <v>Standard</v>
      </c>
      <c r="L260">
        <f>_xlfn.XLOOKUP(tblProduction[[#This Row],[Product]],tblProducts[Product],tblProducts[Target_Units],"Not Found")</f>
        <v>1000</v>
      </c>
    </row>
    <row r="261" spans="1:12" x14ac:dyDescent="0.3">
      <c r="A261" s="1">
        <v>46052</v>
      </c>
      <c r="B261" t="s">
        <v>9</v>
      </c>
      <c r="C261" t="s">
        <v>13</v>
      </c>
      <c r="D261" t="s">
        <v>18</v>
      </c>
      <c r="E261">
        <v>792</v>
      </c>
      <c r="F261">
        <v>19</v>
      </c>
      <c r="G261">
        <v>33</v>
      </c>
      <c r="H261">
        <v>773</v>
      </c>
      <c r="I261">
        <v>2.3989898989898988</v>
      </c>
      <c r="J261">
        <v>97.601010101010104</v>
      </c>
      <c r="K261" t="str">
        <f>_xlfn.XLOOKUP(tblProduction[[#This Row],[Product]],tblProducts[Product],tblProducts[Category],"Not Found")</f>
        <v>Assembly</v>
      </c>
      <c r="L261">
        <f>_xlfn.XLOOKUP(tblProduction[[#This Row],[Product]],tblProducts[Product],tblProducts[Target_Units],"Not Found")</f>
        <v>900</v>
      </c>
    </row>
    <row r="262" spans="1:12" x14ac:dyDescent="0.3">
      <c r="A262" s="1">
        <v>46052</v>
      </c>
      <c r="B262" t="s">
        <v>15</v>
      </c>
      <c r="C262" t="s">
        <v>10</v>
      </c>
      <c r="D262" t="s">
        <v>16</v>
      </c>
      <c r="E262">
        <v>960</v>
      </c>
      <c r="F262">
        <v>24</v>
      </c>
      <c r="G262">
        <v>48</v>
      </c>
      <c r="H262">
        <v>936</v>
      </c>
      <c r="I262">
        <v>2.5</v>
      </c>
      <c r="J262">
        <v>97.5</v>
      </c>
      <c r="K262" t="str">
        <f>_xlfn.XLOOKUP(tblProduction[[#This Row],[Product]],tblProducts[Product],tblProducts[Category],"Not Found")</f>
        <v>Standard</v>
      </c>
      <c r="L262">
        <f>_xlfn.XLOOKUP(tblProduction[[#This Row],[Product]],tblProducts[Product],tblProducts[Target_Units],"Not Found")</f>
        <v>1000</v>
      </c>
    </row>
    <row r="263" spans="1:12" x14ac:dyDescent="0.3">
      <c r="A263" s="1">
        <v>46052</v>
      </c>
      <c r="B263" t="s">
        <v>15</v>
      </c>
      <c r="C263" t="s">
        <v>12</v>
      </c>
      <c r="D263" t="s">
        <v>14</v>
      </c>
      <c r="E263">
        <v>789</v>
      </c>
      <c r="F263">
        <v>26</v>
      </c>
      <c r="G263">
        <v>30</v>
      </c>
      <c r="H263">
        <v>763</v>
      </c>
      <c r="I263">
        <v>3.29531051964512</v>
      </c>
      <c r="J263">
        <v>96.704689480354872</v>
      </c>
      <c r="K263" t="str">
        <f>_xlfn.XLOOKUP(tblProduction[[#This Row],[Product]],tblProducts[Product],tblProducts[Category],"Not Found")</f>
        <v>Assembly</v>
      </c>
      <c r="L263">
        <f>_xlfn.XLOOKUP(tblProduction[[#This Row],[Product]],tblProducts[Product],tblProducts[Target_Units],"Not Found")</f>
        <v>850</v>
      </c>
    </row>
    <row r="264" spans="1:12" x14ac:dyDescent="0.3">
      <c r="A264" s="1">
        <v>46052</v>
      </c>
      <c r="B264" t="s">
        <v>15</v>
      </c>
      <c r="C264" t="s">
        <v>13</v>
      </c>
      <c r="D264" t="s">
        <v>18</v>
      </c>
      <c r="E264">
        <v>712</v>
      </c>
      <c r="F264">
        <v>24</v>
      </c>
      <c r="G264">
        <v>35</v>
      </c>
      <c r="H264">
        <v>688</v>
      </c>
      <c r="I264">
        <v>3.3707865168539319</v>
      </c>
      <c r="J264">
        <v>96.629213483146074</v>
      </c>
      <c r="K264" t="str">
        <f>_xlfn.XLOOKUP(tblProduction[[#This Row],[Product]],tblProducts[Product],tblProducts[Category],"Not Found")</f>
        <v>Assembly</v>
      </c>
      <c r="L264">
        <f>_xlfn.XLOOKUP(tblProduction[[#This Row],[Product]],tblProducts[Product],tblProducts[Target_Units],"Not Found")</f>
        <v>900</v>
      </c>
    </row>
    <row r="265" spans="1:12" x14ac:dyDescent="0.3">
      <c r="A265" s="1">
        <v>46052</v>
      </c>
      <c r="B265" t="s">
        <v>17</v>
      </c>
      <c r="C265" t="s">
        <v>10</v>
      </c>
      <c r="D265" t="s">
        <v>16</v>
      </c>
      <c r="E265">
        <v>753</v>
      </c>
      <c r="F265">
        <v>26</v>
      </c>
      <c r="G265">
        <v>90</v>
      </c>
      <c r="H265">
        <v>727</v>
      </c>
      <c r="I265">
        <v>3.452855245683931</v>
      </c>
      <c r="J265">
        <v>96.547144754316065</v>
      </c>
      <c r="K265" t="str">
        <f>_xlfn.XLOOKUP(tblProduction[[#This Row],[Product]],tblProducts[Product],tblProducts[Category],"Not Found")</f>
        <v>Standard</v>
      </c>
      <c r="L265">
        <f>_xlfn.XLOOKUP(tblProduction[[#This Row],[Product]],tblProducts[Product],tblProducts[Target_Units],"Not Found")</f>
        <v>1000</v>
      </c>
    </row>
    <row r="266" spans="1:12" x14ac:dyDescent="0.3">
      <c r="A266" s="1">
        <v>46052</v>
      </c>
      <c r="B266" t="s">
        <v>17</v>
      </c>
      <c r="C266" t="s">
        <v>12</v>
      </c>
      <c r="D266" t="s">
        <v>16</v>
      </c>
      <c r="E266">
        <v>819</v>
      </c>
      <c r="F266">
        <v>28</v>
      </c>
      <c r="G266">
        <v>49</v>
      </c>
      <c r="H266">
        <v>791</v>
      </c>
      <c r="I266">
        <v>3.4188034188034191</v>
      </c>
      <c r="J266">
        <v>96.581196581196579</v>
      </c>
      <c r="K266" t="str">
        <f>_xlfn.XLOOKUP(tblProduction[[#This Row],[Product]],tblProducts[Product],tblProducts[Category],"Not Found")</f>
        <v>Standard</v>
      </c>
      <c r="L266">
        <f>_xlfn.XLOOKUP(tblProduction[[#This Row],[Product]],tblProducts[Product],tblProducts[Target_Units],"Not Found")</f>
        <v>1000</v>
      </c>
    </row>
    <row r="267" spans="1:12" x14ac:dyDescent="0.3">
      <c r="A267" s="1">
        <v>46052</v>
      </c>
      <c r="B267" t="s">
        <v>17</v>
      </c>
      <c r="C267" t="s">
        <v>13</v>
      </c>
      <c r="D267" t="s">
        <v>14</v>
      </c>
      <c r="E267">
        <v>681</v>
      </c>
      <c r="F267">
        <v>36</v>
      </c>
      <c r="G267">
        <v>18</v>
      </c>
      <c r="H267">
        <v>645</v>
      </c>
      <c r="I267">
        <v>5.286343612334802</v>
      </c>
      <c r="J267">
        <v>94.713656387665196</v>
      </c>
      <c r="K267" t="str">
        <f>_xlfn.XLOOKUP(tblProduction[[#This Row],[Product]],tblProducts[Product],tblProducts[Category],"Not Found")</f>
        <v>Assembly</v>
      </c>
      <c r="L267">
        <f>_xlfn.XLOOKUP(tblProduction[[#This Row],[Product]],tblProducts[Product],tblProducts[Target_Units],"Not Found")</f>
        <v>850</v>
      </c>
    </row>
    <row r="268" spans="1:12" x14ac:dyDescent="0.3">
      <c r="A268" s="1">
        <v>46053</v>
      </c>
      <c r="B268" t="s">
        <v>9</v>
      </c>
      <c r="C268" t="s">
        <v>10</v>
      </c>
      <c r="D268" t="s">
        <v>18</v>
      </c>
      <c r="E268">
        <v>1011</v>
      </c>
      <c r="F268">
        <v>15</v>
      </c>
      <c r="G268">
        <v>6</v>
      </c>
      <c r="H268">
        <v>996</v>
      </c>
      <c r="I268">
        <v>1.4836795252225521</v>
      </c>
      <c r="J268">
        <v>98.516320474777459</v>
      </c>
      <c r="K268" t="str">
        <f>_xlfn.XLOOKUP(tblProduction[[#This Row],[Product]],tblProducts[Product],tblProducts[Category],"Not Found")</f>
        <v>Assembly</v>
      </c>
      <c r="L268">
        <f>_xlfn.XLOOKUP(tblProduction[[#This Row],[Product]],tblProducts[Product],tblProducts[Target_Units],"Not Found")</f>
        <v>900</v>
      </c>
    </row>
    <row r="269" spans="1:12" x14ac:dyDescent="0.3">
      <c r="A269" s="1">
        <v>46053</v>
      </c>
      <c r="B269" t="s">
        <v>9</v>
      </c>
      <c r="C269" t="s">
        <v>12</v>
      </c>
      <c r="D269" t="s">
        <v>16</v>
      </c>
      <c r="E269">
        <v>992</v>
      </c>
      <c r="F269">
        <v>14</v>
      </c>
      <c r="G269">
        <v>23</v>
      </c>
      <c r="H269">
        <v>978</v>
      </c>
      <c r="I269">
        <v>1.411290322580645</v>
      </c>
      <c r="J269">
        <v>98.588709677419345</v>
      </c>
      <c r="K269" t="str">
        <f>_xlfn.XLOOKUP(tblProduction[[#This Row],[Product]],tblProducts[Product],tblProducts[Category],"Not Found")</f>
        <v>Standard</v>
      </c>
      <c r="L269">
        <f>_xlfn.XLOOKUP(tblProduction[[#This Row],[Product]],tblProducts[Product],tblProducts[Target_Units],"Not Found")</f>
        <v>1000</v>
      </c>
    </row>
    <row r="270" spans="1:12" x14ac:dyDescent="0.3">
      <c r="A270" s="1">
        <v>46053</v>
      </c>
      <c r="B270" t="s">
        <v>9</v>
      </c>
      <c r="C270" t="s">
        <v>13</v>
      </c>
      <c r="D270" t="s">
        <v>16</v>
      </c>
      <c r="E270">
        <v>906</v>
      </c>
      <c r="F270">
        <v>22</v>
      </c>
      <c r="G270">
        <v>34</v>
      </c>
      <c r="H270">
        <v>884</v>
      </c>
      <c r="I270">
        <v>2.428256070640177</v>
      </c>
      <c r="J270">
        <v>97.571743929359826</v>
      </c>
      <c r="K270" t="str">
        <f>_xlfn.XLOOKUP(tblProduction[[#This Row],[Product]],tblProducts[Product],tblProducts[Category],"Not Found")</f>
        <v>Standard</v>
      </c>
      <c r="L270">
        <f>_xlfn.XLOOKUP(tblProduction[[#This Row],[Product]],tblProducts[Product],tblProducts[Target_Units],"Not Found")</f>
        <v>1000</v>
      </c>
    </row>
    <row r="271" spans="1:12" x14ac:dyDescent="0.3">
      <c r="A271" s="1">
        <v>46053</v>
      </c>
      <c r="B271" t="s">
        <v>15</v>
      </c>
      <c r="C271" t="s">
        <v>10</v>
      </c>
      <c r="D271" t="s">
        <v>16</v>
      </c>
      <c r="E271">
        <v>971</v>
      </c>
      <c r="F271">
        <v>24</v>
      </c>
      <c r="G271">
        <v>35</v>
      </c>
      <c r="H271">
        <v>947</v>
      </c>
      <c r="I271">
        <v>2.4716786817713698</v>
      </c>
      <c r="J271">
        <v>97.528321318228635</v>
      </c>
      <c r="K271" t="str">
        <f>_xlfn.XLOOKUP(tblProduction[[#This Row],[Product]],tblProducts[Product],tblProducts[Category],"Not Found")</f>
        <v>Standard</v>
      </c>
      <c r="L271">
        <f>_xlfn.XLOOKUP(tblProduction[[#This Row],[Product]],tblProducts[Product],tblProducts[Target_Units],"Not Found")</f>
        <v>1000</v>
      </c>
    </row>
    <row r="272" spans="1:12" x14ac:dyDescent="0.3">
      <c r="A272" s="1">
        <v>46053</v>
      </c>
      <c r="B272" t="s">
        <v>15</v>
      </c>
      <c r="C272" t="s">
        <v>12</v>
      </c>
      <c r="D272" t="s">
        <v>16</v>
      </c>
      <c r="E272">
        <v>869</v>
      </c>
      <c r="F272">
        <v>21</v>
      </c>
      <c r="G272">
        <v>54</v>
      </c>
      <c r="H272">
        <v>848</v>
      </c>
      <c r="I272">
        <v>2.416570771001151</v>
      </c>
      <c r="J272">
        <v>97.583429228998853</v>
      </c>
      <c r="K272" t="str">
        <f>_xlfn.XLOOKUP(tblProduction[[#This Row],[Product]],tblProducts[Product],tblProducts[Category],"Not Found")</f>
        <v>Standard</v>
      </c>
      <c r="L272">
        <f>_xlfn.XLOOKUP(tblProduction[[#This Row],[Product]],tblProducts[Product],tblProducts[Target_Units],"Not Found")</f>
        <v>1000</v>
      </c>
    </row>
    <row r="273" spans="1:12" x14ac:dyDescent="0.3">
      <c r="A273" s="1">
        <v>46053</v>
      </c>
      <c r="B273" t="s">
        <v>15</v>
      </c>
      <c r="C273" t="s">
        <v>13</v>
      </c>
      <c r="D273" t="s">
        <v>16</v>
      </c>
      <c r="E273">
        <v>877</v>
      </c>
      <c r="F273">
        <v>30</v>
      </c>
      <c r="G273">
        <v>14</v>
      </c>
      <c r="H273">
        <v>847</v>
      </c>
      <c r="I273">
        <v>3.420752565564424</v>
      </c>
      <c r="J273">
        <v>96.579247434435572</v>
      </c>
      <c r="K273" t="str">
        <f>_xlfn.XLOOKUP(tblProduction[[#This Row],[Product]],tblProducts[Product],tblProducts[Category],"Not Found")</f>
        <v>Standard</v>
      </c>
      <c r="L273">
        <f>_xlfn.XLOOKUP(tblProduction[[#This Row],[Product]],tblProducts[Product],tblProducts[Target_Units],"Not Found")</f>
        <v>1000</v>
      </c>
    </row>
    <row r="274" spans="1:12" x14ac:dyDescent="0.3">
      <c r="A274" s="1">
        <v>46053</v>
      </c>
      <c r="B274" t="s">
        <v>17</v>
      </c>
      <c r="C274" t="s">
        <v>10</v>
      </c>
      <c r="D274" t="s">
        <v>16</v>
      </c>
      <c r="E274">
        <v>791</v>
      </c>
      <c r="F274">
        <v>27</v>
      </c>
      <c r="G274">
        <v>62</v>
      </c>
      <c r="H274">
        <v>764</v>
      </c>
      <c r="I274">
        <v>3.413400758533502</v>
      </c>
      <c r="J274">
        <v>96.586599241466502</v>
      </c>
      <c r="K274" t="str">
        <f>_xlfn.XLOOKUP(tblProduction[[#This Row],[Product]],tblProducts[Product],tblProducts[Category],"Not Found")</f>
        <v>Standard</v>
      </c>
      <c r="L274">
        <f>_xlfn.XLOOKUP(tblProduction[[#This Row],[Product]],tblProducts[Product],tblProducts[Target_Units],"Not Found")</f>
        <v>1000</v>
      </c>
    </row>
    <row r="275" spans="1:12" x14ac:dyDescent="0.3">
      <c r="A275" s="1">
        <v>46053</v>
      </c>
      <c r="B275" t="s">
        <v>17</v>
      </c>
      <c r="C275" t="s">
        <v>12</v>
      </c>
      <c r="D275" t="s">
        <v>16</v>
      </c>
      <c r="E275">
        <v>823</v>
      </c>
      <c r="F275">
        <v>28</v>
      </c>
      <c r="G275">
        <v>41</v>
      </c>
      <c r="H275">
        <v>795</v>
      </c>
      <c r="I275">
        <v>3.4021871202916159</v>
      </c>
      <c r="J275">
        <v>96.597812879708385</v>
      </c>
      <c r="K275" t="str">
        <f>_xlfn.XLOOKUP(tblProduction[[#This Row],[Product]],tblProducts[Product],tblProducts[Category],"Not Found")</f>
        <v>Standard</v>
      </c>
      <c r="L275">
        <f>_xlfn.XLOOKUP(tblProduction[[#This Row],[Product]],tblProducts[Product],tblProducts[Target_Units],"Not Found")</f>
        <v>1000</v>
      </c>
    </row>
    <row r="276" spans="1:12" x14ac:dyDescent="0.3">
      <c r="A276" s="1">
        <v>46053</v>
      </c>
      <c r="B276" t="s">
        <v>17</v>
      </c>
      <c r="C276" t="s">
        <v>13</v>
      </c>
      <c r="D276" t="s">
        <v>16</v>
      </c>
      <c r="E276">
        <v>778</v>
      </c>
      <c r="F276">
        <v>35</v>
      </c>
      <c r="G276">
        <v>21</v>
      </c>
      <c r="H276">
        <v>743</v>
      </c>
      <c r="I276">
        <v>4.4987146529562976</v>
      </c>
      <c r="J276">
        <v>95.501285347043705</v>
      </c>
      <c r="K276" t="str">
        <f>_xlfn.XLOOKUP(tblProduction[[#This Row],[Product]],tblProducts[Product],tblProducts[Category],"Not Found")</f>
        <v>Standard</v>
      </c>
      <c r="L276">
        <f>_xlfn.XLOOKUP(tblProduction[[#This Row],[Product]],tblProducts[Product],tblProducts[Target_Units],"Not Found")</f>
        <v>1000</v>
      </c>
    </row>
    <row r="277" spans="1:12" x14ac:dyDescent="0.3">
      <c r="A277" s="1">
        <v>46054</v>
      </c>
      <c r="B277" t="s">
        <v>9</v>
      </c>
      <c r="C277" t="s">
        <v>10</v>
      </c>
      <c r="D277" t="s">
        <v>16</v>
      </c>
      <c r="E277">
        <v>1106</v>
      </c>
      <c r="F277">
        <v>16</v>
      </c>
      <c r="G277">
        <v>10</v>
      </c>
      <c r="H277">
        <v>1090</v>
      </c>
      <c r="I277">
        <v>1.446654611211573</v>
      </c>
      <c r="J277">
        <v>98.553345388788429</v>
      </c>
      <c r="K277" t="str">
        <f>_xlfn.XLOOKUP(tblProduction[[#This Row],[Product]],tblProducts[Product],tblProducts[Category],"Not Found")</f>
        <v>Standard</v>
      </c>
      <c r="L277">
        <f>_xlfn.XLOOKUP(tblProduction[[#This Row],[Product]],tblProducts[Product],tblProducts[Target_Units],"Not Found")</f>
        <v>1000</v>
      </c>
    </row>
    <row r="278" spans="1:12" x14ac:dyDescent="0.3">
      <c r="A278" s="1">
        <v>46054</v>
      </c>
      <c r="B278" t="s">
        <v>9</v>
      </c>
      <c r="C278" t="s">
        <v>12</v>
      </c>
      <c r="D278" t="s">
        <v>14</v>
      </c>
      <c r="E278">
        <v>803</v>
      </c>
      <c r="F278">
        <v>18</v>
      </c>
      <c r="G278">
        <v>31</v>
      </c>
      <c r="H278">
        <v>785</v>
      </c>
      <c r="I278">
        <v>2.2415940224159399</v>
      </c>
      <c r="J278">
        <v>97.758405977584061</v>
      </c>
      <c r="K278" t="str">
        <f>_xlfn.XLOOKUP(tblProduction[[#This Row],[Product]],tblProducts[Product],tblProducts[Category],"Not Found")</f>
        <v>Assembly</v>
      </c>
      <c r="L278">
        <f>_xlfn.XLOOKUP(tblProduction[[#This Row],[Product]],tblProducts[Product],tblProducts[Target_Units],"Not Found")</f>
        <v>850</v>
      </c>
    </row>
    <row r="279" spans="1:12" x14ac:dyDescent="0.3">
      <c r="A279" s="1">
        <v>46054</v>
      </c>
      <c r="B279" t="s">
        <v>9</v>
      </c>
      <c r="C279" t="s">
        <v>13</v>
      </c>
      <c r="D279" t="s">
        <v>14</v>
      </c>
      <c r="E279">
        <v>789</v>
      </c>
      <c r="F279">
        <v>26</v>
      </c>
      <c r="G279">
        <v>46</v>
      </c>
      <c r="H279">
        <v>763</v>
      </c>
      <c r="I279">
        <v>3.29531051964512</v>
      </c>
      <c r="J279">
        <v>96.704689480354872</v>
      </c>
      <c r="K279" t="str">
        <f>_xlfn.XLOOKUP(tblProduction[[#This Row],[Product]],tblProducts[Product],tblProducts[Category],"Not Found")</f>
        <v>Assembly</v>
      </c>
      <c r="L279">
        <f>_xlfn.XLOOKUP(tblProduction[[#This Row],[Product]],tblProducts[Product],tblProducts[Target_Units],"Not Found")</f>
        <v>850</v>
      </c>
    </row>
    <row r="280" spans="1:12" x14ac:dyDescent="0.3">
      <c r="A280" s="1">
        <v>46054</v>
      </c>
      <c r="B280" t="s">
        <v>15</v>
      </c>
      <c r="C280" t="s">
        <v>10</v>
      </c>
      <c r="D280" t="s">
        <v>18</v>
      </c>
      <c r="E280">
        <v>786</v>
      </c>
      <c r="F280">
        <v>19</v>
      </c>
      <c r="G280">
        <v>55</v>
      </c>
      <c r="H280">
        <v>767</v>
      </c>
      <c r="I280">
        <v>2.4173027989821878</v>
      </c>
      <c r="J280">
        <v>97.582697201017808</v>
      </c>
      <c r="K280" t="str">
        <f>_xlfn.XLOOKUP(tblProduction[[#This Row],[Product]],tblProducts[Product],tblProducts[Category],"Not Found")</f>
        <v>Assembly</v>
      </c>
      <c r="L280">
        <f>_xlfn.XLOOKUP(tblProduction[[#This Row],[Product]],tblProducts[Product],tblProducts[Target_Units],"Not Found")</f>
        <v>900</v>
      </c>
    </row>
    <row r="281" spans="1:12" x14ac:dyDescent="0.3">
      <c r="A281" s="1">
        <v>46054</v>
      </c>
      <c r="B281" t="s">
        <v>15</v>
      </c>
      <c r="C281" t="s">
        <v>12</v>
      </c>
      <c r="D281" t="s">
        <v>16</v>
      </c>
      <c r="E281">
        <v>849</v>
      </c>
      <c r="F281">
        <v>21</v>
      </c>
      <c r="G281">
        <v>60</v>
      </c>
      <c r="H281">
        <v>828</v>
      </c>
      <c r="I281">
        <v>2.473498233215548</v>
      </c>
      <c r="J281">
        <v>97.526501766784463</v>
      </c>
      <c r="K281" t="str">
        <f>_xlfn.XLOOKUP(tblProduction[[#This Row],[Product]],tblProducts[Product],tblProducts[Category],"Not Found")</f>
        <v>Standard</v>
      </c>
      <c r="L281">
        <f>_xlfn.XLOOKUP(tblProduction[[#This Row],[Product]],tblProducts[Product],tblProducts[Target_Units],"Not Found")</f>
        <v>1000</v>
      </c>
    </row>
    <row r="282" spans="1:12" x14ac:dyDescent="0.3">
      <c r="A282" s="1">
        <v>46054</v>
      </c>
      <c r="B282" t="s">
        <v>15</v>
      </c>
      <c r="C282" t="s">
        <v>13</v>
      </c>
      <c r="D282" t="s">
        <v>11</v>
      </c>
      <c r="E282">
        <v>731</v>
      </c>
      <c r="F282">
        <v>25</v>
      </c>
      <c r="G282">
        <v>62</v>
      </c>
      <c r="H282">
        <v>706</v>
      </c>
      <c r="I282">
        <v>3.4199726402188779</v>
      </c>
      <c r="J282">
        <v>96.580027359781113</v>
      </c>
      <c r="K282" t="str">
        <f>_xlfn.XLOOKUP(tblProduction[[#This Row],[Product]],tblProducts[Product],tblProducts[Category],"Not Found")</f>
        <v>Precision</v>
      </c>
      <c r="L282">
        <f>_xlfn.XLOOKUP(tblProduction[[#This Row],[Product]],tblProducts[Product],tblProducts[Target_Units],"Not Found")</f>
        <v>950</v>
      </c>
    </row>
    <row r="283" spans="1:12" x14ac:dyDescent="0.3">
      <c r="A283" s="1">
        <v>46054</v>
      </c>
      <c r="B283" t="s">
        <v>17</v>
      </c>
      <c r="C283" t="s">
        <v>10</v>
      </c>
      <c r="D283" t="s">
        <v>14</v>
      </c>
      <c r="E283">
        <v>661</v>
      </c>
      <c r="F283">
        <v>28</v>
      </c>
      <c r="G283">
        <v>83</v>
      </c>
      <c r="H283">
        <v>633</v>
      </c>
      <c r="I283">
        <v>4.236006051437216</v>
      </c>
      <c r="J283">
        <v>95.763993948562785</v>
      </c>
      <c r="K283" t="str">
        <f>_xlfn.XLOOKUP(tblProduction[[#This Row],[Product]],tblProducts[Product],tblProducts[Category],"Not Found")</f>
        <v>Assembly</v>
      </c>
      <c r="L283">
        <f>_xlfn.XLOOKUP(tblProduction[[#This Row],[Product]],tblProducts[Product],tblProducts[Target_Units],"Not Found")</f>
        <v>850</v>
      </c>
    </row>
    <row r="284" spans="1:12" x14ac:dyDescent="0.3">
      <c r="A284" s="1">
        <v>46054</v>
      </c>
      <c r="B284" t="s">
        <v>17</v>
      </c>
      <c r="C284" t="s">
        <v>12</v>
      </c>
      <c r="D284" t="s">
        <v>11</v>
      </c>
      <c r="E284">
        <v>753</v>
      </c>
      <c r="F284">
        <v>26</v>
      </c>
      <c r="G284">
        <v>23</v>
      </c>
      <c r="H284">
        <v>727</v>
      </c>
      <c r="I284">
        <v>3.452855245683931</v>
      </c>
      <c r="J284">
        <v>96.547144754316065</v>
      </c>
      <c r="K284" t="str">
        <f>_xlfn.XLOOKUP(tblProduction[[#This Row],[Product]],tblProducts[Product],tblProducts[Category],"Not Found")</f>
        <v>Precision</v>
      </c>
      <c r="L284">
        <f>_xlfn.XLOOKUP(tblProduction[[#This Row],[Product]],tblProducts[Product],tblProducts[Target_Units],"Not Found")</f>
        <v>950</v>
      </c>
    </row>
    <row r="285" spans="1:12" x14ac:dyDescent="0.3">
      <c r="A285" s="1">
        <v>46054</v>
      </c>
      <c r="B285" t="s">
        <v>17</v>
      </c>
      <c r="C285" t="s">
        <v>13</v>
      </c>
      <c r="D285" t="s">
        <v>16</v>
      </c>
      <c r="E285">
        <v>705</v>
      </c>
      <c r="F285">
        <v>31</v>
      </c>
      <c r="G285">
        <v>56</v>
      </c>
      <c r="H285">
        <v>674</v>
      </c>
      <c r="I285">
        <v>4.3971631205673756</v>
      </c>
      <c r="J285">
        <v>95.60283687943263</v>
      </c>
      <c r="K285" t="str">
        <f>_xlfn.XLOOKUP(tblProduction[[#This Row],[Product]],tblProducts[Product],tblProducts[Category],"Not Found")</f>
        <v>Standard</v>
      </c>
      <c r="L285">
        <f>_xlfn.XLOOKUP(tblProduction[[#This Row],[Product]],tblProducts[Product],tblProducts[Target_Units],"Not Found")</f>
        <v>1000</v>
      </c>
    </row>
    <row r="286" spans="1:12" x14ac:dyDescent="0.3">
      <c r="A286" s="1">
        <v>46055</v>
      </c>
      <c r="B286" t="s">
        <v>9</v>
      </c>
      <c r="C286" t="s">
        <v>10</v>
      </c>
      <c r="D286" t="s">
        <v>11</v>
      </c>
      <c r="E286">
        <v>998</v>
      </c>
      <c r="F286">
        <v>14</v>
      </c>
      <c r="G286">
        <v>38</v>
      </c>
      <c r="H286">
        <v>984</v>
      </c>
      <c r="I286">
        <v>1.402805611222445</v>
      </c>
      <c r="J286">
        <v>98.597194388777552</v>
      </c>
      <c r="K286" t="str">
        <f>_xlfn.XLOOKUP(tblProduction[[#This Row],[Product]],tblProducts[Product],tblProducts[Category],"Not Found")</f>
        <v>Precision</v>
      </c>
      <c r="L286">
        <f>_xlfn.XLOOKUP(tblProduction[[#This Row],[Product]],tblProducts[Product],tblProducts[Target_Units],"Not Found")</f>
        <v>950</v>
      </c>
    </row>
    <row r="287" spans="1:12" x14ac:dyDescent="0.3">
      <c r="A287" s="1">
        <v>46055</v>
      </c>
      <c r="B287" t="s">
        <v>9</v>
      </c>
      <c r="C287" t="s">
        <v>12</v>
      </c>
      <c r="D287" t="s">
        <v>16</v>
      </c>
      <c r="E287">
        <v>862</v>
      </c>
      <c r="F287">
        <v>12</v>
      </c>
      <c r="G287">
        <v>81</v>
      </c>
      <c r="H287">
        <v>850</v>
      </c>
      <c r="I287">
        <v>1.392111368909513</v>
      </c>
      <c r="J287">
        <v>98.607888631090489</v>
      </c>
      <c r="K287" t="str">
        <f>_xlfn.XLOOKUP(tblProduction[[#This Row],[Product]],tblProducts[Product],tblProducts[Category],"Not Found")</f>
        <v>Standard</v>
      </c>
      <c r="L287">
        <f>_xlfn.XLOOKUP(tblProduction[[#This Row],[Product]],tblProducts[Product],tblProducts[Target_Units],"Not Found")</f>
        <v>1000</v>
      </c>
    </row>
    <row r="288" spans="1:12" x14ac:dyDescent="0.3">
      <c r="A288" s="1">
        <v>46055</v>
      </c>
      <c r="B288" t="s">
        <v>9</v>
      </c>
      <c r="C288" t="s">
        <v>13</v>
      </c>
      <c r="D288" t="s">
        <v>14</v>
      </c>
      <c r="E288">
        <v>794</v>
      </c>
      <c r="F288">
        <v>26</v>
      </c>
      <c r="G288">
        <v>45</v>
      </c>
      <c r="H288">
        <v>768</v>
      </c>
      <c r="I288">
        <v>3.2745591939546599</v>
      </c>
      <c r="J288">
        <v>96.725440806045341</v>
      </c>
      <c r="K288" t="str">
        <f>_xlfn.XLOOKUP(tblProduction[[#This Row],[Product]],tblProducts[Product],tblProducts[Category],"Not Found")</f>
        <v>Assembly</v>
      </c>
      <c r="L288">
        <f>_xlfn.XLOOKUP(tblProduction[[#This Row],[Product]],tblProducts[Product],tblProducts[Target_Units],"Not Found")</f>
        <v>850</v>
      </c>
    </row>
    <row r="289" spans="1:12" x14ac:dyDescent="0.3">
      <c r="A289" s="1">
        <v>46055</v>
      </c>
      <c r="B289" t="s">
        <v>15</v>
      </c>
      <c r="C289" t="s">
        <v>10</v>
      </c>
      <c r="D289" t="s">
        <v>14</v>
      </c>
      <c r="E289">
        <v>752</v>
      </c>
      <c r="F289">
        <v>24</v>
      </c>
      <c r="G289">
        <v>73</v>
      </c>
      <c r="H289">
        <v>728</v>
      </c>
      <c r="I289">
        <v>3.191489361702128</v>
      </c>
      <c r="J289">
        <v>96.808510638297875</v>
      </c>
      <c r="K289" t="str">
        <f>_xlfn.XLOOKUP(tblProduction[[#This Row],[Product]],tblProducts[Product],tblProducts[Category],"Not Found")</f>
        <v>Assembly</v>
      </c>
      <c r="L289">
        <f>_xlfn.XLOOKUP(tblProduction[[#This Row],[Product]],tblProducts[Product],tblProducts[Target_Units],"Not Found")</f>
        <v>850</v>
      </c>
    </row>
    <row r="290" spans="1:12" x14ac:dyDescent="0.3">
      <c r="A290" s="1">
        <v>46055</v>
      </c>
      <c r="B290" t="s">
        <v>15</v>
      </c>
      <c r="C290" t="s">
        <v>12</v>
      </c>
      <c r="D290" t="s">
        <v>18</v>
      </c>
      <c r="E290">
        <v>762</v>
      </c>
      <c r="F290">
        <v>19</v>
      </c>
      <c r="G290">
        <v>79</v>
      </c>
      <c r="H290">
        <v>743</v>
      </c>
      <c r="I290">
        <v>2.4934383202099739</v>
      </c>
      <c r="J290">
        <v>97.506561679790025</v>
      </c>
      <c r="K290" t="str">
        <f>_xlfn.XLOOKUP(tblProduction[[#This Row],[Product]],tblProducts[Product],tblProducts[Category],"Not Found")</f>
        <v>Assembly</v>
      </c>
      <c r="L290">
        <f>_xlfn.XLOOKUP(tblProduction[[#This Row],[Product]],tblProducts[Product],tblProducts[Target_Units],"Not Found")</f>
        <v>900</v>
      </c>
    </row>
    <row r="291" spans="1:12" x14ac:dyDescent="0.3">
      <c r="A291" s="1">
        <v>46055</v>
      </c>
      <c r="B291" t="s">
        <v>15</v>
      </c>
      <c r="C291" t="s">
        <v>13</v>
      </c>
      <c r="D291" t="s">
        <v>11</v>
      </c>
      <c r="E291">
        <v>753</v>
      </c>
      <c r="F291">
        <v>26</v>
      </c>
      <c r="G291">
        <v>46</v>
      </c>
      <c r="H291">
        <v>727</v>
      </c>
      <c r="I291">
        <v>3.452855245683931</v>
      </c>
      <c r="J291">
        <v>96.547144754316065</v>
      </c>
      <c r="K291" t="str">
        <f>_xlfn.XLOOKUP(tblProduction[[#This Row],[Product]],tblProducts[Product],tblProducts[Category],"Not Found")</f>
        <v>Precision</v>
      </c>
      <c r="L291">
        <f>_xlfn.XLOOKUP(tblProduction[[#This Row],[Product]],tblProducts[Product],tblProducts[Target_Units],"Not Found")</f>
        <v>950</v>
      </c>
    </row>
    <row r="292" spans="1:12" x14ac:dyDescent="0.3">
      <c r="A292" s="1">
        <v>46055</v>
      </c>
      <c r="B292" t="s">
        <v>17</v>
      </c>
      <c r="C292" t="s">
        <v>10</v>
      </c>
      <c r="D292" t="s">
        <v>16</v>
      </c>
      <c r="E292">
        <v>810</v>
      </c>
      <c r="F292">
        <v>28</v>
      </c>
      <c r="G292">
        <v>81</v>
      </c>
      <c r="H292">
        <v>782</v>
      </c>
      <c r="I292">
        <v>3.4567901234567899</v>
      </c>
      <c r="J292">
        <v>96.543209876543216</v>
      </c>
      <c r="K292" t="str">
        <f>_xlfn.XLOOKUP(tblProduction[[#This Row],[Product]],tblProducts[Product],tblProducts[Category],"Not Found")</f>
        <v>Standard</v>
      </c>
      <c r="L292">
        <f>_xlfn.XLOOKUP(tblProduction[[#This Row],[Product]],tblProducts[Product],tblProducts[Target_Units],"Not Found")</f>
        <v>1000</v>
      </c>
    </row>
    <row r="293" spans="1:12" x14ac:dyDescent="0.3">
      <c r="A293" s="1">
        <v>46055</v>
      </c>
      <c r="B293" t="s">
        <v>17</v>
      </c>
      <c r="C293" t="s">
        <v>12</v>
      </c>
      <c r="D293" t="s">
        <v>14</v>
      </c>
      <c r="E293">
        <v>729</v>
      </c>
      <c r="F293">
        <v>31</v>
      </c>
      <c r="G293">
        <v>13</v>
      </c>
      <c r="H293">
        <v>698</v>
      </c>
      <c r="I293">
        <v>4.252400548696845</v>
      </c>
      <c r="J293">
        <v>95.747599451303159</v>
      </c>
      <c r="K293" t="str">
        <f>_xlfn.XLOOKUP(tblProduction[[#This Row],[Product]],tblProducts[Product],tblProducts[Category],"Not Found")</f>
        <v>Assembly</v>
      </c>
      <c r="L293">
        <f>_xlfn.XLOOKUP(tblProduction[[#This Row],[Product]],tblProducts[Product],tblProducts[Target_Units],"Not Found")</f>
        <v>850</v>
      </c>
    </row>
    <row r="294" spans="1:12" x14ac:dyDescent="0.3">
      <c r="A294" s="1">
        <v>46055</v>
      </c>
      <c r="B294" t="s">
        <v>17</v>
      </c>
      <c r="C294" t="s">
        <v>13</v>
      </c>
      <c r="D294" t="s">
        <v>16</v>
      </c>
      <c r="E294">
        <v>687</v>
      </c>
      <c r="F294">
        <v>30</v>
      </c>
      <c r="G294">
        <v>78</v>
      </c>
      <c r="H294">
        <v>657</v>
      </c>
      <c r="I294">
        <v>4.3668122270742353</v>
      </c>
      <c r="J294">
        <v>95.633187772925766</v>
      </c>
      <c r="K294" t="str">
        <f>_xlfn.XLOOKUP(tblProduction[[#This Row],[Product]],tblProducts[Product],tblProducts[Category],"Not Found")</f>
        <v>Standard</v>
      </c>
      <c r="L294">
        <f>_xlfn.XLOOKUP(tblProduction[[#This Row],[Product]],tblProducts[Product],tblProducts[Target_Units],"Not Found")</f>
        <v>1000</v>
      </c>
    </row>
    <row r="295" spans="1:12" x14ac:dyDescent="0.3">
      <c r="A295" s="1">
        <v>46056</v>
      </c>
      <c r="B295" t="s">
        <v>9</v>
      </c>
      <c r="C295" t="s">
        <v>10</v>
      </c>
      <c r="D295" t="s">
        <v>14</v>
      </c>
      <c r="E295">
        <v>919</v>
      </c>
      <c r="F295">
        <v>21</v>
      </c>
      <c r="G295">
        <v>13</v>
      </c>
      <c r="H295">
        <v>898</v>
      </c>
      <c r="I295">
        <v>2.285092491838955</v>
      </c>
      <c r="J295">
        <v>97.714907508161048</v>
      </c>
      <c r="K295" t="str">
        <f>_xlfn.XLOOKUP(tblProduction[[#This Row],[Product]],tblProducts[Product],tblProducts[Category],"Not Found")</f>
        <v>Assembly</v>
      </c>
      <c r="L295">
        <f>_xlfn.XLOOKUP(tblProduction[[#This Row],[Product]],tblProducts[Product],tblProducts[Target_Units],"Not Found")</f>
        <v>850</v>
      </c>
    </row>
    <row r="296" spans="1:12" x14ac:dyDescent="0.3">
      <c r="A296" s="1">
        <v>46056</v>
      </c>
      <c r="B296" t="s">
        <v>9</v>
      </c>
      <c r="C296" t="s">
        <v>12</v>
      </c>
      <c r="D296" t="s">
        <v>14</v>
      </c>
      <c r="E296">
        <v>822</v>
      </c>
      <c r="F296">
        <v>18</v>
      </c>
      <c r="G296">
        <v>41</v>
      </c>
      <c r="H296">
        <v>804</v>
      </c>
      <c r="I296">
        <v>2.1897810218978102</v>
      </c>
      <c r="J296">
        <v>97.810218978102199</v>
      </c>
      <c r="K296" t="str">
        <f>_xlfn.XLOOKUP(tblProduction[[#This Row],[Product]],tblProducts[Product],tblProducts[Category],"Not Found")</f>
        <v>Assembly</v>
      </c>
      <c r="L296">
        <f>_xlfn.XLOOKUP(tblProduction[[#This Row],[Product]],tblProducts[Product],tblProducts[Target_Units],"Not Found")</f>
        <v>850</v>
      </c>
    </row>
    <row r="297" spans="1:12" x14ac:dyDescent="0.3">
      <c r="A297" s="1">
        <v>46056</v>
      </c>
      <c r="B297" t="s">
        <v>9</v>
      </c>
      <c r="C297" t="s">
        <v>13</v>
      </c>
      <c r="D297" t="s">
        <v>11</v>
      </c>
      <c r="E297">
        <v>858</v>
      </c>
      <c r="F297">
        <v>21</v>
      </c>
      <c r="G297">
        <v>26</v>
      </c>
      <c r="H297">
        <v>837</v>
      </c>
      <c r="I297">
        <v>2.4475524475524471</v>
      </c>
      <c r="J297">
        <v>97.552447552447546</v>
      </c>
      <c r="K297" t="str">
        <f>_xlfn.XLOOKUP(tblProduction[[#This Row],[Product]],tblProducts[Product],tblProducts[Category],"Not Found")</f>
        <v>Precision</v>
      </c>
      <c r="L297">
        <f>_xlfn.XLOOKUP(tblProduction[[#This Row],[Product]],tblProducts[Product],tblProducts[Target_Units],"Not Found")</f>
        <v>950</v>
      </c>
    </row>
    <row r="298" spans="1:12" x14ac:dyDescent="0.3">
      <c r="A298" s="1">
        <v>46056</v>
      </c>
      <c r="B298" t="s">
        <v>15</v>
      </c>
      <c r="C298" t="s">
        <v>10</v>
      </c>
      <c r="D298" t="s">
        <v>14</v>
      </c>
      <c r="E298">
        <v>807</v>
      </c>
      <c r="F298">
        <v>26</v>
      </c>
      <c r="G298">
        <v>29</v>
      </c>
      <c r="H298">
        <v>781</v>
      </c>
      <c r="I298">
        <v>3.2218091697645601</v>
      </c>
      <c r="J298">
        <v>96.778190830235445</v>
      </c>
      <c r="K298" t="str">
        <f>_xlfn.XLOOKUP(tblProduction[[#This Row],[Product]],tblProducts[Product],tblProducts[Category],"Not Found")</f>
        <v>Assembly</v>
      </c>
      <c r="L298">
        <f>_xlfn.XLOOKUP(tblProduction[[#This Row],[Product]],tblProducts[Product],tblProducts[Target_Units],"Not Found")</f>
        <v>850</v>
      </c>
    </row>
    <row r="299" spans="1:12" x14ac:dyDescent="0.3">
      <c r="A299" s="1">
        <v>46056</v>
      </c>
      <c r="B299" t="s">
        <v>15</v>
      </c>
      <c r="C299" t="s">
        <v>12</v>
      </c>
      <c r="D299" t="s">
        <v>16</v>
      </c>
      <c r="E299">
        <v>796</v>
      </c>
      <c r="F299">
        <v>19</v>
      </c>
      <c r="G299">
        <v>81</v>
      </c>
      <c r="H299">
        <v>777</v>
      </c>
      <c r="I299">
        <v>2.386934673366834</v>
      </c>
      <c r="J299">
        <v>97.613065326633162</v>
      </c>
      <c r="K299" t="str">
        <f>_xlfn.XLOOKUP(tblProduction[[#This Row],[Product]],tblProducts[Product],tblProducts[Category],"Not Found")</f>
        <v>Standard</v>
      </c>
      <c r="L299">
        <f>_xlfn.XLOOKUP(tblProduction[[#This Row],[Product]],tblProducts[Product],tblProducts[Target_Units],"Not Found")</f>
        <v>1000</v>
      </c>
    </row>
    <row r="300" spans="1:12" x14ac:dyDescent="0.3">
      <c r="A300" s="1">
        <v>46056</v>
      </c>
      <c r="B300" t="s">
        <v>15</v>
      </c>
      <c r="C300" t="s">
        <v>13</v>
      </c>
      <c r="D300" t="s">
        <v>11</v>
      </c>
      <c r="E300">
        <v>753</v>
      </c>
      <c r="F300">
        <v>26</v>
      </c>
      <c r="G300">
        <v>70</v>
      </c>
      <c r="H300">
        <v>727</v>
      </c>
      <c r="I300">
        <v>3.452855245683931</v>
      </c>
      <c r="J300">
        <v>96.547144754316065</v>
      </c>
      <c r="K300" t="str">
        <f>_xlfn.XLOOKUP(tblProduction[[#This Row],[Product]],tblProducts[Product],tblProducts[Category],"Not Found")</f>
        <v>Precision</v>
      </c>
      <c r="L300">
        <f>_xlfn.XLOOKUP(tblProduction[[#This Row],[Product]],tblProducts[Product],tblProducts[Target_Units],"Not Found")</f>
        <v>950</v>
      </c>
    </row>
    <row r="301" spans="1:12" x14ac:dyDescent="0.3">
      <c r="A301" s="1">
        <v>46056</v>
      </c>
      <c r="B301" t="s">
        <v>17</v>
      </c>
      <c r="C301" t="s">
        <v>10</v>
      </c>
      <c r="D301" t="s">
        <v>16</v>
      </c>
      <c r="E301">
        <v>858</v>
      </c>
      <c r="F301">
        <v>30</v>
      </c>
      <c r="G301">
        <v>5</v>
      </c>
      <c r="H301">
        <v>828</v>
      </c>
      <c r="I301">
        <v>3.4965034965034971</v>
      </c>
      <c r="J301">
        <v>96.503496503496507</v>
      </c>
      <c r="K301" t="str">
        <f>_xlfn.XLOOKUP(tblProduction[[#This Row],[Product]],tblProducts[Product],tblProducts[Category],"Not Found")</f>
        <v>Standard</v>
      </c>
      <c r="L301">
        <f>_xlfn.XLOOKUP(tblProduction[[#This Row],[Product]],tblProducts[Product],tblProducts[Target_Units],"Not Found")</f>
        <v>1000</v>
      </c>
    </row>
    <row r="302" spans="1:12" x14ac:dyDescent="0.3">
      <c r="A302" s="1">
        <v>46056</v>
      </c>
      <c r="B302" t="s">
        <v>17</v>
      </c>
      <c r="C302" t="s">
        <v>12</v>
      </c>
      <c r="D302" t="s">
        <v>18</v>
      </c>
      <c r="E302">
        <v>689</v>
      </c>
      <c r="F302">
        <v>24</v>
      </c>
      <c r="G302">
        <v>55</v>
      </c>
      <c r="H302">
        <v>665</v>
      </c>
      <c r="I302">
        <v>3.483309143686502</v>
      </c>
      <c r="J302">
        <v>96.516690856313502</v>
      </c>
      <c r="K302" t="str">
        <f>_xlfn.XLOOKUP(tblProduction[[#This Row],[Product]],tblProducts[Product],tblProducts[Category],"Not Found")</f>
        <v>Assembly</v>
      </c>
      <c r="L302">
        <f>_xlfn.XLOOKUP(tblProduction[[#This Row],[Product]],tblProducts[Product],tblProducts[Target_Units],"Not Found")</f>
        <v>900</v>
      </c>
    </row>
    <row r="303" spans="1:12" x14ac:dyDescent="0.3">
      <c r="A303" s="1">
        <v>46056</v>
      </c>
      <c r="B303" t="s">
        <v>17</v>
      </c>
      <c r="C303" t="s">
        <v>13</v>
      </c>
      <c r="D303" t="s">
        <v>11</v>
      </c>
      <c r="E303">
        <v>647</v>
      </c>
      <c r="F303">
        <v>29</v>
      </c>
      <c r="G303">
        <v>85</v>
      </c>
      <c r="H303">
        <v>618</v>
      </c>
      <c r="I303">
        <v>4.4822256568778984</v>
      </c>
      <c r="J303">
        <v>95.517774343122099</v>
      </c>
      <c r="K303" t="str">
        <f>_xlfn.XLOOKUP(tblProduction[[#This Row],[Product]],tblProducts[Product],tblProducts[Category],"Not Found")</f>
        <v>Precision</v>
      </c>
      <c r="L303">
        <f>_xlfn.XLOOKUP(tblProduction[[#This Row],[Product]],tblProducts[Product],tblProducts[Target_Units],"Not Found")</f>
        <v>950</v>
      </c>
    </row>
    <row r="304" spans="1:12" x14ac:dyDescent="0.3">
      <c r="A304" s="1">
        <v>46057</v>
      </c>
      <c r="B304" t="s">
        <v>9</v>
      </c>
      <c r="C304" t="s">
        <v>10</v>
      </c>
      <c r="D304" t="s">
        <v>11</v>
      </c>
      <c r="E304">
        <v>1009</v>
      </c>
      <c r="F304">
        <v>15</v>
      </c>
      <c r="G304">
        <v>35</v>
      </c>
      <c r="H304">
        <v>994</v>
      </c>
      <c r="I304">
        <v>1.486620416253716</v>
      </c>
      <c r="J304">
        <v>98.513379583746286</v>
      </c>
      <c r="K304" t="str">
        <f>_xlfn.XLOOKUP(tblProduction[[#This Row],[Product]],tblProducts[Product],tblProducts[Category],"Not Found")</f>
        <v>Precision</v>
      </c>
      <c r="L304">
        <f>_xlfn.XLOOKUP(tblProduction[[#This Row],[Product]],tblProducts[Product],tblProducts[Target_Units],"Not Found")</f>
        <v>950</v>
      </c>
    </row>
    <row r="305" spans="1:12" x14ac:dyDescent="0.3">
      <c r="A305" s="1">
        <v>46057</v>
      </c>
      <c r="B305" t="s">
        <v>9</v>
      </c>
      <c r="C305" t="s">
        <v>12</v>
      </c>
      <c r="D305" t="s">
        <v>16</v>
      </c>
      <c r="E305">
        <v>975</v>
      </c>
      <c r="F305">
        <v>14</v>
      </c>
      <c r="G305">
        <v>60</v>
      </c>
      <c r="H305">
        <v>961</v>
      </c>
      <c r="I305">
        <v>1.4358974358974359</v>
      </c>
      <c r="J305">
        <v>98.564102564102569</v>
      </c>
      <c r="K305" t="str">
        <f>_xlfn.XLOOKUP(tblProduction[[#This Row],[Product]],tblProducts[Product],tblProducts[Category],"Not Found")</f>
        <v>Standard</v>
      </c>
      <c r="L305">
        <f>_xlfn.XLOOKUP(tblProduction[[#This Row],[Product]],tblProducts[Product],tblProducts[Target_Units],"Not Found")</f>
        <v>1000</v>
      </c>
    </row>
    <row r="306" spans="1:12" x14ac:dyDescent="0.3">
      <c r="A306" s="1">
        <v>46057</v>
      </c>
      <c r="B306" t="s">
        <v>9</v>
      </c>
      <c r="C306" t="s">
        <v>13</v>
      </c>
      <c r="D306" t="s">
        <v>14</v>
      </c>
      <c r="E306">
        <v>813</v>
      </c>
      <c r="F306">
        <v>26</v>
      </c>
      <c r="G306">
        <v>18</v>
      </c>
      <c r="H306">
        <v>787</v>
      </c>
      <c r="I306">
        <v>3.198031980319803</v>
      </c>
      <c r="J306">
        <v>96.801968019680203</v>
      </c>
      <c r="K306" t="str">
        <f>_xlfn.XLOOKUP(tblProduction[[#This Row],[Product]],tblProducts[Product],tblProducts[Category],"Not Found")</f>
        <v>Assembly</v>
      </c>
      <c r="L306">
        <f>_xlfn.XLOOKUP(tblProduction[[#This Row],[Product]],tblProducts[Product],tblProducts[Target_Units],"Not Found")</f>
        <v>850</v>
      </c>
    </row>
    <row r="307" spans="1:12" x14ac:dyDescent="0.3">
      <c r="A307" s="1">
        <v>46057</v>
      </c>
      <c r="B307" t="s">
        <v>15</v>
      </c>
      <c r="C307" t="s">
        <v>10</v>
      </c>
      <c r="D307" t="s">
        <v>16</v>
      </c>
      <c r="E307">
        <v>889</v>
      </c>
      <c r="F307">
        <v>22</v>
      </c>
      <c r="G307">
        <v>39</v>
      </c>
      <c r="H307">
        <v>867</v>
      </c>
      <c r="I307">
        <v>2.474690663667042</v>
      </c>
      <c r="J307">
        <v>97.525309336332953</v>
      </c>
      <c r="K307" t="str">
        <f>_xlfn.XLOOKUP(tblProduction[[#This Row],[Product]],tblProducts[Product],tblProducts[Category],"Not Found")</f>
        <v>Standard</v>
      </c>
      <c r="L307">
        <f>_xlfn.XLOOKUP(tblProduction[[#This Row],[Product]],tblProducts[Product],tblProducts[Target_Units],"Not Found")</f>
        <v>1000</v>
      </c>
    </row>
    <row r="308" spans="1:12" x14ac:dyDescent="0.3">
      <c r="A308" s="1">
        <v>46057</v>
      </c>
      <c r="B308" t="s">
        <v>15</v>
      </c>
      <c r="C308" t="s">
        <v>12</v>
      </c>
      <c r="D308" t="s">
        <v>11</v>
      </c>
      <c r="E308">
        <v>840</v>
      </c>
      <c r="F308">
        <v>21</v>
      </c>
      <c r="G308">
        <v>20</v>
      </c>
      <c r="H308">
        <v>819</v>
      </c>
      <c r="I308">
        <v>2.5</v>
      </c>
      <c r="J308">
        <v>97.5</v>
      </c>
      <c r="K308" t="str">
        <f>_xlfn.XLOOKUP(tblProduction[[#This Row],[Product]],tblProducts[Product],tblProducts[Category],"Not Found")</f>
        <v>Precision</v>
      </c>
      <c r="L308">
        <f>_xlfn.XLOOKUP(tblProduction[[#This Row],[Product]],tblProducts[Product],tblProducts[Target_Units],"Not Found")</f>
        <v>950</v>
      </c>
    </row>
    <row r="309" spans="1:12" x14ac:dyDescent="0.3">
      <c r="A309" s="1">
        <v>46057</v>
      </c>
      <c r="B309" t="s">
        <v>15</v>
      </c>
      <c r="C309" t="s">
        <v>13</v>
      </c>
      <c r="D309" t="s">
        <v>18</v>
      </c>
      <c r="E309">
        <v>687</v>
      </c>
      <c r="F309">
        <v>24</v>
      </c>
      <c r="G309">
        <v>77</v>
      </c>
      <c r="H309">
        <v>663</v>
      </c>
      <c r="I309">
        <v>3.4934497816593879</v>
      </c>
      <c r="J309">
        <v>96.506550218340621</v>
      </c>
      <c r="K309" t="str">
        <f>_xlfn.XLOOKUP(tblProduction[[#This Row],[Product]],tblProducts[Product],tblProducts[Category],"Not Found")</f>
        <v>Assembly</v>
      </c>
      <c r="L309">
        <f>_xlfn.XLOOKUP(tblProduction[[#This Row],[Product]],tblProducts[Product],tblProducts[Target_Units],"Not Found")</f>
        <v>900</v>
      </c>
    </row>
    <row r="310" spans="1:12" x14ac:dyDescent="0.3">
      <c r="A310" s="1">
        <v>46057</v>
      </c>
      <c r="B310" t="s">
        <v>17</v>
      </c>
      <c r="C310" t="s">
        <v>10</v>
      </c>
      <c r="D310" t="s">
        <v>11</v>
      </c>
      <c r="E310">
        <v>769</v>
      </c>
      <c r="F310">
        <v>26</v>
      </c>
      <c r="G310">
        <v>40</v>
      </c>
      <c r="H310">
        <v>743</v>
      </c>
      <c r="I310">
        <v>3.3810143042912881</v>
      </c>
      <c r="J310">
        <v>96.618985695708716</v>
      </c>
      <c r="K310" t="str">
        <f>_xlfn.XLOOKUP(tblProduction[[#This Row],[Product]],tblProducts[Product],tblProducts[Category],"Not Found")</f>
        <v>Precision</v>
      </c>
      <c r="L310">
        <f>_xlfn.XLOOKUP(tblProduction[[#This Row],[Product]],tblProducts[Product],tblProducts[Target_Units],"Not Found")</f>
        <v>950</v>
      </c>
    </row>
    <row r="311" spans="1:12" x14ac:dyDescent="0.3">
      <c r="A311" s="1">
        <v>46057</v>
      </c>
      <c r="B311" t="s">
        <v>17</v>
      </c>
      <c r="C311" t="s">
        <v>12</v>
      </c>
      <c r="D311" t="s">
        <v>16</v>
      </c>
      <c r="E311">
        <v>792</v>
      </c>
      <c r="F311">
        <v>27</v>
      </c>
      <c r="G311">
        <v>59</v>
      </c>
      <c r="H311">
        <v>765</v>
      </c>
      <c r="I311">
        <v>3.4090909090909092</v>
      </c>
      <c r="J311">
        <v>96.590909090909093</v>
      </c>
      <c r="K311" t="str">
        <f>_xlfn.XLOOKUP(tblProduction[[#This Row],[Product]],tblProducts[Product],tblProducts[Category],"Not Found")</f>
        <v>Standard</v>
      </c>
      <c r="L311">
        <f>_xlfn.XLOOKUP(tblProduction[[#This Row],[Product]],tblProducts[Product],tblProducts[Target_Units],"Not Found")</f>
        <v>1000</v>
      </c>
    </row>
    <row r="312" spans="1:12" x14ac:dyDescent="0.3">
      <c r="A312" s="1">
        <v>46057</v>
      </c>
      <c r="B312" t="s">
        <v>17</v>
      </c>
      <c r="C312" t="s">
        <v>13</v>
      </c>
      <c r="D312" t="s">
        <v>16</v>
      </c>
      <c r="E312">
        <v>727</v>
      </c>
      <c r="F312">
        <v>32</v>
      </c>
      <c r="G312">
        <v>55</v>
      </c>
      <c r="H312">
        <v>695</v>
      </c>
      <c r="I312">
        <v>4.4016506189821181</v>
      </c>
      <c r="J312">
        <v>95.598349381017883</v>
      </c>
      <c r="K312" t="str">
        <f>_xlfn.XLOOKUP(tblProduction[[#This Row],[Product]],tblProducts[Product],tblProducts[Category],"Not Found")</f>
        <v>Standard</v>
      </c>
      <c r="L312">
        <f>_xlfn.XLOOKUP(tblProduction[[#This Row],[Product]],tblProducts[Product],tblProducts[Target_Units],"Not Found")</f>
        <v>1000</v>
      </c>
    </row>
    <row r="313" spans="1:12" x14ac:dyDescent="0.3">
      <c r="A313" s="1">
        <v>46058</v>
      </c>
      <c r="B313" t="s">
        <v>9</v>
      </c>
      <c r="C313" t="s">
        <v>10</v>
      </c>
      <c r="D313" t="s">
        <v>18</v>
      </c>
      <c r="E313">
        <v>914</v>
      </c>
      <c r="F313">
        <v>13</v>
      </c>
      <c r="G313">
        <v>32</v>
      </c>
      <c r="H313">
        <v>901</v>
      </c>
      <c r="I313">
        <v>1.4223194748358861</v>
      </c>
      <c r="J313">
        <v>98.577680525164112</v>
      </c>
      <c r="K313" t="str">
        <f>_xlfn.XLOOKUP(tblProduction[[#This Row],[Product]],tblProducts[Product],tblProducts[Category],"Not Found")</f>
        <v>Assembly</v>
      </c>
      <c r="L313">
        <f>_xlfn.XLOOKUP(tblProduction[[#This Row],[Product]],tblProducts[Product],tblProducts[Target_Units],"Not Found")</f>
        <v>900</v>
      </c>
    </row>
    <row r="314" spans="1:12" x14ac:dyDescent="0.3">
      <c r="A314" s="1">
        <v>46058</v>
      </c>
      <c r="B314" t="s">
        <v>9</v>
      </c>
      <c r="C314" t="s">
        <v>12</v>
      </c>
      <c r="D314" t="s">
        <v>14</v>
      </c>
      <c r="E314">
        <v>861</v>
      </c>
      <c r="F314">
        <v>19</v>
      </c>
      <c r="G314">
        <v>11</v>
      </c>
      <c r="H314">
        <v>842</v>
      </c>
      <c r="I314">
        <v>2.206736353077817</v>
      </c>
      <c r="J314">
        <v>97.793263646922185</v>
      </c>
      <c r="K314" t="str">
        <f>_xlfn.XLOOKUP(tblProduction[[#This Row],[Product]],tblProducts[Product],tblProducts[Category],"Not Found")</f>
        <v>Assembly</v>
      </c>
      <c r="L314">
        <f>_xlfn.XLOOKUP(tblProduction[[#This Row],[Product]],tblProducts[Product],tblProducts[Target_Units],"Not Found")</f>
        <v>850</v>
      </c>
    </row>
    <row r="315" spans="1:12" x14ac:dyDescent="0.3">
      <c r="A315" s="1">
        <v>46058</v>
      </c>
      <c r="B315" t="s">
        <v>9</v>
      </c>
      <c r="C315" t="s">
        <v>13</v>
      </c>
      <c r="D315" t="s">
        <v>11</v>
      </c>
      <c r="E315">
        <v>894</v>
      </c>
      <c r="F315">
        <v>22</v>
      </c>
      <c r="G315">
        <v>22</v>
      </c>
      <c r="H315">
        <v>872</v>
      </c>
      <c r="I315">
        <v>2.4608501118568231</v>
      </c>
      <c r="J315">
        <v>97.539149888143172</v>
      </c>
      <c r="K315" t="str">
        <f>_xlfn.XLOOKUP(tblProduction[[#This Row],[Product]],tblProducts[Product],tblProducts[Category],"Not Found")</f>
        <v>Precision</v>
      </c>
      <c r="L315">
        <f>_xlfn.XLOOKUP(tblProduction[[#This Row],[Product]],tblProducts[Product],tblProducts[Target_Units],"Not Found")</f>
        <v>950</v>
      </c>
    </row>
    <row r="316" spans="1:12" x14ac:dyDescent="0.3">
      <c r="A316" s="1">
        <v>46058</v>
      </c>
      <c r="B316" t="s">
        <v>15</v>
      </c>
      <c r="C316" t="s">
        <v>10</v>
      </c>
      <c r="D316" t="s">
        <v>18</v>
      </c>
      <c r="E316">
        <v>833</v>
      </c>
      <c r="F316">
        <v>20</v>
      </c>
      <c r="G316">
        <v>62</v>
      </c>
      <c r="H316">
        <v>813</v>
      </c>
      <c r="I316">
        <v>2.4009603841536622</v>
      </c>
      <c r="J316">
        <v>97.599039615846337</v>
      </c>
      <c r="K316" t="str">
        <f>_xlfn.XLOOKUP(tblProduction[[#This Row],[Product]],tblProducts[Product],tblProducts[Category],"Not Found")</f>
        <v>Assembly</v>
      </c>
      <c r="L316">
        <f>_xlfn.XLOOKUP(tblProduction[[#This Row],[Product]],tblProducts[Product],tblProducts[Target_Units],"Not Found")</f>
        <v>900</v>
      </c>
    </row>
    <row r="317" spans="1:12" x14ac:dyDescent="0.3">
      <c r="A317" s="1">
        <v>46058</v>
      </c>
      <c r="B317" t="s">
        <v>15</v>
      </c>
      <c r="C317" t="s">
        <v>12</v>
      </c>
      <c r="D317" t="s">
        <v>18</v>
      </c>
      <c r="E317">
        <v>801</v>
      </c>
      <c r="F317">
        <v>20</v>
      </c>
      <c r="G317">
        <v>49</v>
      </c>
      <c r="H317">
        <v>781</v>
      </c>
      <c r="I317">
        <v>2.4968789013732828</v>
      </c>
      <c r="J317">
        <v>97.503121098626721</v>
      </c>
      <c r="K317" t="str">
        <f>_xlfn.XLOOKUP(tblProduction[[#This Row],[Product]],tblProducts[Product],tblProducts[Category],"Not Found")</f>
        <v>Assembly</v>
      </c>
      <c r="L317">
        <f>_xlfn.XLOOKUP(tblProduction[[#This Row],[Product]],tblProducts[Product],tblProducts[Target_Units],"Not Found")</f>
        <v>900</v>
      </c>
    </row>
    <row r="318" spans="1:12" x14ac:dyDescent="0.3">
      <c r="A318" s="1">
        <v>46058</v>
      </c>
      <c r="B318" t="s">
        <v>15</v>
      </c>
      <c r="C318" t="s">
        <v>13</v>
      </c>
      <c r="D318" t="s">
        <v>16</v>
      </c>
      <c r="E318">
        <v>802</v>
      </c>
      <c r="F318">
        <v>28</v>
      </c>
      <c r="G318">
        <v>57</v>
      </c>
      <c r="H318">
        <v>774</v>
      </c>
      <c r="I318">
        <v>3.491271820448878</v>
      </c>
      <c r="J318">
        <v>96.508728179551113</v>
      </c>
      <c r="K318" t="str">
        <f>_xlfn.XLOOKUP(tblProduction[[#This Row],[Product]],tblProducts[Product],tblProducts[Category],"Not Found")</f>
        <v>Standard</v>
      </c>
      <c r="L318">
        <f>_xlfn.XLOOKUP(tblProduction[[#This Row],[Product]],tblProducts[Product],tblProducts[Target_Units],"Not Found")</f>
        <v>1000</v>
      </c>
    </row>
    <row r="319" spans="1:12" x14ac:dyDescent="0.3">
      <c r="A319" s="1">
        <v>46058</v>
      </c>
      <c r="B319" t="s">
        <v>17</v>
      </c>
      <c r="C319" t="s">
        <v>10</v>
      </c>
      <c r="D319" t="s">
        <v>14</v>
      </c>
      <c r="E319">
        <v>684</v>
      </c>
      <c r="F319">
        <v>29</v>
      </c>
      <c r="G319">
        <v>54</v>
      </c>
      <c r="H319">
        <v>655</v>
      </c>
      <c r="I319">
        <v>4.2397660818713447</v>
      </c>
      <c r="J319">
        <v>95.760233918128662</v>
      </c>
      <c r="K319" t="str">
        <f>_xlfn.XLOOKUP(tblProduction[[#This Row],[Product]],tblProducts[Product],tblProducts[Category],"Not Found")</f>
        <v>Assembly</v>
      </c>
      <c r="L319">
        <f>_xlfn.XLOOKUP(tblProduction[[#This Row],[Product]],tblProducts[Product],tblProducts[Target_Units],"Not Found")</f>
        <v>850</v>
      </c>
    </row>
    <row r="320" spans="1:12" x14ac:dyDescent="0.3">
      <c r="A320" s="1">
        <v>46058</v>
      </c>
      <c r="B320" t="s">
        <v>17</v>
      </c>
      <c r="C320" t="s">
        <v>12</v>
      </c>
      <c r="D320" t="s">
        <v>16</v>
      </c>
      <c r="E320">
        <v>780</v>
      </c>
      <c r="F320">
        <v>27</v>
      </c>
      <c r="G320">
        <v>54</v>
      </c>
      <c r="H320">
        <v>753</v>
      </c>
      <c r="I320">
        <v>3.4615384615384621</v>
      </c>
      <c r="J320">
        <v>96.538461538461533</v>
      </c>
      <c r="K320" t="str">
        <f>_xlfn.XLOOKUP(tblProduction[[#This Row],[Product]],tblProducts[Product],tblProducts[Category],"Not Found")</f>
        <v>Standard</v>
      </c>
      <c r="L320">
        <f>_xlfn.XLOOKUP(tblProduction[[#This Row],[Product]],tblProducts[Product],tblProducts[Target_Units],"Not Found")</f>
        <v>1000</v>
      </c>
    </row>
    <row r="321" spans="1:12" x14ac:dyDescent="0.3">
      <c r="A321" s="1">
        <v>46058</v>
      </c>
      <c r="B321" t="s">
        <v>17</v>
      </c>
      <c r="C321" t="s">
        <v>13</v>
      </c>
      <c r="D321" t="s">
        <v>14</v>
      </c>
      <c r="E321">
        <v>579</v>
      </c>
      <c r="F321">
        <v>30</v>
      </c>
      <c r="G321">
        <v>60</v>
      </c>
      <c r="H321">
        <v>549</v>
      </c>
      <c r="I321">
        <v>5.1813471502590671</v>
      </c>
      <c r="J321">
        <v>94.818652849740943</v>
      </c>
      <c r="K321" t="str">
        <f>_xlfn.XLOOKUP(tblProduction[[#This Row],[Product]],tblProducts[Product],tblProducts[Category],"Not Found")</f>
        <v>Assembly</v>
      </c>
      <c r="L321">
        <f>_xlfn.XLOOKUP(tblProduction[[#This Row],[Product]],tblProducts[Product],tblProducts[Target_Units],"Not Found")</f>
        <v>850</v>
      </c>
    </row>
    <row r="322" spans="1:12" x14ac:dyDescent="0.3">
      <c r="A322" s="1">
        <v>46059</v>
      </c>
      <c r="B322" t="s">
        <v>9</v>
      </c>
      <c r="C322" t="s">
        <v>10</v>
      </c>
      <c r="D322" t="s">
        <v>11</v>
      </c>
      <c r="E322">
        <v>847</v>
      </c>
      <c r="F322">
        <v>12</v>
      </c>
      <c r="G322">
        <v>90</v>
      </c>
      <c r="H322">
        <v>835</v>
      </c>
      <c r="I322">
        <v>1.4167650531286891</v>
      </c>
      <c r="J322">
        <v>98.583234946871315</v>
      </c>
      <c r="K322" t="str">
        <f>_xlfn.XLOOKUP(tblProduction[[#This Row],[Product]],tblProducts[Product],tblProducts[Category],"Not Found")</f>
        <v>Precision</v>
      </c>
      <c r="L322">
        <f>_xlfn.XLOOKUP(tblProduction[[#This Row],[Product]],tblProducts[Product],tblProducts[Target_Units],"Not Found")</f>
        <v>950</v>
      </c>
    </row>
    <row r="323" spans="1:12" x14ac:dyDescent="0.3">
      <c r="A323" s="1">
        <v>46059</v>
      </c>
      <c r="B323" t="s">
        <v>9</v>
      </c>
      <c r="C323" t="s">
        <v>12</v>
      </c>
      <c r="D323" t="s">
        <v>14</v>
      </c>
      <c r="E323">
        <v>879</v>
      </c>
      <c r="F323">
        <v>20</v>
      </c>
      <c r="G323">
        <v>1</v>
      </c>
      <c r="H323">
        <v>859</v>
      </c>
      <c r="I323">
        <v>2.2753128555176341</v>
      </c>
      <c r="J323">
        <v>97.724687144482374</v>
      </c>
      <c r="K323" t="str">
        <f>_xlfn.XLOOKUP(tblProduction[[#This Row],[Product]],tblProducts[Product],tblProducts[Category],"Not Found")</f>
        <v>Assembly</v>
      </c>
      <c r="L323">
        <f>_xlfn.XLOOKUP(tblProduction[[#This Row],[Product]],tblProducts[Product],tblProducts[Target_Units],"Not Found")</f>
        <v>850</v>
      </c>
    </row>
    <row r="324" spans="1:12" x14ac:dyDescent="0.3">
      <c r="A324" s="1">
        <v>46059</v>
      </c>
      <c r="B324" t="s">
        <v>9</v>
      </c>
      <c r="C324" t="s">
        <v>13</v>
      </c>
      <c r="D324" t="s">
        <v>11</v>
      </c>
      <c r="E324">
        <v>822</v>
      </c>
      <c r="F324">
        <v>20</v>
      </c>
      <c r="G324">
        <v>67</v>
      </c>
      <c r="H324">
        <v>802</v>
      </c>
      <c r="I324">
        <v>2.4330900243308999</v>
      </c>
      <c r="J324">
        <v>97.566909975669105</v>
      </c>
      <c r="K324" t="str">
        <f>_xlfn.XLOOKUP(tblProduction[[#This Row],[Product]],tblProducts[Product],tblProducts[Category],"Not Found")</f>
        <v>Precision</v>
      </c>
      <c r="L324">
        <f>_xlfn.XLOOKUP(tblProduction[[#This Row],[Product]],tblProducts[Product],tblProducts[Target_Units],"Not Found")</f>
        <v>950</v>
      </c>
    </row>
    <row r="325" spans="1:12" x14ac:dyDescent="0.3">
      <c r="A325" s="1">
        <v>46059</v>
      </c>
      <c r="B325" t="s">
        <v>15</v>
      </c>
      <c r="C325" t="s">
        <v>10</v>
      </c>
      <c r="D325" t="s">
        <v>11</v>
      </c>
      <c r="E325">
        <v>951</v>
      </c>
      <c r="F325">
        <v>23</v>
      </c>
      <c r="G325">
        <v>11</v>
      </c>
      <c r="H325">
        <v>928</v>
      </c>
      <c r="I325">
        <v>2.41850683491062</v>
      </c>
      <c r="J325">
        <v>97.581493165089384</v>
      </c>
      <c r="K325" t="str">
        <f>_xlfn.XLOOKUP(tblProduction[[#This Row],[Product]],tblProducts[Product],tblProducts[Category],"Not Found")</f>
        <v>Precision</v>
      </c>
      <c r="L325">
        <f>_xlfn.XLOOKUP(tblProduction[[#This Row],[Product]],tblProducts[Product],tblProducts[Target_Units],"Not Found")</f>
        <v>950</v>
      </c>
    </row>
    <row r="326" spans="1:12" x14ac:dyDescent="0.3">
      <c r="A326" s="1">
        <v>46059</v>
      </c>
      <c r="B326" t="s">
        <v>15</v>
      </c>
      <c r="C326" t="s">
        <v>12</v>
      </c>
      <c r="D326" t="s">
        <v>11</v>
      </c>
      <c r="E326">
        <v>748</v>
      </c>
      <c r="F326">
        <v>18</v>
      </c>
      <c r="G326">
        <v>87</v>
      </c>
      <c r="H326">
        <v>730</v>
      </c>
      <c r="I326">
        <v>2.4064171122994651</v>
      </c>
      <c r="J326">
        <v>97.593582887700535</v>
      </c>
      <c r="K326" t="str">
        <f>_xlfn.XLOOKUP(tblProduction[[#This Row],[Product]],tblProducts[Product],tblProducts[Category],"Not Found")</f>
        <v>Precision</v>
      </c>
      <c r="L326">
        <f>_xlfn.XLOOKUP(tblProduction[[#This Row],[Product]],tblProducts[Product],tblProducts[Target_Units],"Not Found")</f>
        <v>950</v>
      </c>
    </row>
    <row r="327" spans="1:12" x14ac:dyDescent="0.3">
      <c r="A327" s="1">
        <v>46059</v>
      </c>
      <c r="B327" t="s">
        <v>15</v>
      </c>
      <c r="C327" t="s">
        <v>13</v>
      </c>
      <c r="D327" t="s">
        <v>18</v>
      </c>
      <c r="E327">
        <v>718</v>
      </c>
      <c r="F327">
        <v>25</v>
      </c>
      <c r="G327">
        <v>48</v>
      </c>
      <c r="H327">
        <v>693</v>
      </c>
      <c r="I327">
        <v>3.481894150417828</v>
      </c>
      <c r="J327">
        <v>96.51810584958217</v>
      </c>
      <c r="K327" t="str">
        <f>_xlfn.XLOOKUP(tblProduction[[#This Row],[Product]],tblProducts[Product],tblProducts[Category],"Not Found")</f>
        <v>Assembly</v>
      </c>
      <c r="L327">
        <f>_xlfn.XLOOKUP(tblProduction[[#This Row],[Product]],tblProducts[Product],tblProducts[Target_Units],"Not Found")</f>
        <v>900</v>
      </c>
    </row>
    <row r="328" spans="1:12" x14ac:dyDescent="0.3">
      <c r="A328" s="1">
        <v>46059</v>
      </c>
      <c r="B328" t="s">
        <v>17</v>
      </c>
      <c r="C328" t="s">
        <v>10</v>
      </c>
      <c r="D328" t="s">
        <v>14</v>
      </c>
      <c r="E328">
        <v>713</v>
      </c>
      <c r="F328">
        <v>30</v>
      </c>
      <c r="G328">
        <v>35</v>
      </c>
      <c r="H328">
        <v>683</v>
      </c>
      <c r="I328">
        <v>4.2075736325385691</v>
      </c>
      <c r="J328">
        <v>95.792426367461431</v>
      </c>
      <c r="K328" t="str">
        <f>_xlfn.XLOOKUP(tblProduction[[#This Row],[Product]],tblProducts[Product],tblProducts[Category],"Not Found")</f>
        <v>Assembly</v>
      </c>
      <c r="L328">
        <f>_xlfn.XLOOKUP(tblProduction[[#This Row],[Product]],tblProducts[Product],tblProducts[Target_Units],"Not Found")</f>
        <v>850</v>
      </c>
    </row>
    <row r="329" spans="1:12" x14ac:dyDescent="0.3">
      <c r="A329" s="1">
        <v>46059</v>
      </c>
      <c r="B329" t="s">
        <v>17</v>
      </c>
      <c r="C329" t="s">
        <v>12</v>
      </c>
      <c r="D329" t="s">
        <v>16</v>
      </c>
      <c r="E329">
        <v>782</v>
      </c>
      <c r="F329">
        <v>27</v>
      </c>
      <c r="G329">
        <v>76</v>
      </c>
      <c r="H329">
        <v>755</v>
      </c>
      <c r="I329">
        <v>3.452685421994885</v>
      </c>
      <c r="J329">
        <v>96.547314578005114</v>
      </c>
      <c r="K329" t="str">
        <f>_xlfn.XLOOKUP(tblProduction[[#This Row],[Product]],tblProducts[Product],tblProducts[Category],"Not Found")</f>
        <v>Standard</v>
      </c>
      <c r="L329">
        <f>_xlfn.XLOOKUP(tblProduction[[#This Row],[Product]],tblProducts[Product],tblProducts[Target_Units],"Not Found")</f>
        <v>1000</v>
      </c>
    </row>
    <row r="330" spans="1:12" x14ac:dyDescent="0.3">
      <c r="A330" s="1">
        <v>46059</v>
      </c>
      <c r="B330" t="s">
        <v>17</v>
      </c>
      <c r="C330" t="s">
        <v>13</v>
      </c>
      <c r="D330" t="s">
        <v>18</v>
      </c>
      <c r="E330">
        <v>701</v>
      </c>
      <c r="F330">
        <v>31</v>
      </c>
      <c r="G330">
        <v>23</v>
      </c>
      <c r="H330">
        <v>670</v>
      </c>
      <c r="I330">
        <v>4.4222539229671902</v>
      </c>
      <c r="J330">
        <v>95.577746077032813</v>
      </c>
      <c r="K330" t="str">
        <f>_xlfn.XLOOKUP(tblProduction[[#This Row],[Product]],tblProducts[Product],tblProducts[Category],"Not Found")</f>
        <v>Assembly</v>
      </c>
      <c r="L330">
        <f>_xlfn.XLOOKUP(tblProduction[[#This Row],[Product]],tblProducts[Product],tblProducts[Target_Units],"Not Found")</f>
        <v>900</v>
      </c>
    </row>
    <row r="331" spans="1:12" x14ac:dyDescent="0.3">
      <c r="A331" s="1">
        <v>46060</v>
      </c>
      <c r="B331" t="s">
        <v>9</v>
      </c>
      <c r="C331" t="s">
        <v>10</v>
      </c>
      <c r="D331" t="s">
        <v>11</v>
      </c>
      <c r="E331">
        <v>1058</v>
      </c>
      <c r="F331">
        <v>15</v>
      </c>
      <c r="G331">
        <v>9</v>
      </c>
      <c r="H331">
        <v>1043</v>
      </c>
      <c r="I331">
        <v>1.417769376181474</v>
      </c>
      <c r="J331">
        <v>98.582230623818518</v>
      </c>
      <c r="K331" t="str">
        <f>_xlfn.XLOOKUP(tblProduction[[#This Row],[Product]],tblProducts[Product],tblProducts[Category],"Not Found")</f>
        <v>Precision</v>
      </c>
      <c r="L331">
        <f>_xlfn.XLOOKUP(tblProduction[[#This Row],[Product]],tblProducts[Product],tblProducts[Target_Units],"Not Found")</f>
        <v>950</v>
      </c>
    </row>
    <row r="332" spans="1:12" x14ac:dyDescent="0.3">
      <c r="A332" s="1">
        <v>46060</v>
      </c>
      <c r="B332" t="s">
        <v>9</v>
      </c>
      <c r="C332" t="s">
        <v>12</v>
      </c>
      <c r="D332" t="s">
        <v>16</v>
      </c>
      <c r="E332">
        <v>933</v>
      </c>
      <c r="F332">
        <v>13</v>
      </c>
      <c r="G332">
        <v>82</v>
      </c>
      <c r="H332">
        <v>920</v>
      </c>
      <c r="I332">
        <v>1.393354769560557</v>
      </c>
      <c r="J332">
        <v>98.60664523043944</v>
      </c>
      <c r="K332" t="str">
        <f>_xlfn.XLOOKUP(tblProduction[[#This Row],[Product]],tblProducts[Product],tblProducts[Category],"Not Found")</f>
        <v>Standard</v>
      </c>
      <c r="L332">
        <f>_xlfn.XLOOKUP(tblProduction[[#This Row],[Product]],tblProducts[Product],tblProducts[Target_Units],"Not Found")</f>
        <v>1000</v>
      </c>
    </row>
    <row r="333" spans="1:12" x14ac:dyDescent="0.3">
      <c r="A333" s="1">
        <v>46060</v>
      </c>
      <c r="B333" t="s">
        <v>9</v>
      </c>
      <c r="C333" t="s">
        <v>13</v>
      </c>
      <c r="D333" t="s">
        <v>11</v>
      </c>
      <c r="E333">
        <v>811</v>
      </c>
      <c r="F333">
        <v>20</v>
      </c>
      <c r="G333">
        <v>77</v>
      </c>
      <c r="H333">
        <v>791</v>
      </c>
      <c r="I333">
        <v>2.466091245376079</v>
      </c>
      <c r="J333">
        <v>97.533908754623923</v>
      </c>
      <c r="K333" t="str">
        <f>_xlfn.XLOOKUP(tblProduction[[#This Row],[Product]],tblProducts[Product],tblProducts[Category],"Not Found")</f>
        <v>Precision</v>
      </c>
      <c r="L333">
        <f>_xlfn.XLOOKUP(tblProduction[[#This Row],[Product]],tblProducts[Product],tblProducts[Target_Units],"Not Found")</f>
        <v>950</v>
      </c>
    </row>
    <row r="334" spans="1:12" x14ac:dyDescent="0.3">
      <c r="A334" s="1">
        <v>46060</v>
      </c>
      <c r="B334" t="s">
        <v>15</v>
      </c>
      <c r="C334" t="s">
        <v>10</v>
      </c>
      <c r="D334" t="s">
        <v>18</v>
      </c>
      <c r="E334">
        <v>843</v>
      </c>
      <c r="F334">
        <v>21</v>
      </c>
      <c r="G334">
        <v>57</v>
      </c>
      <c r="H334">
        <v>822</v>
      </c>
      <c r="I334">
        <v>2.4911032028469751</v>
      </c>
      <c r="J334">
        <v>97.508896797153028</v>
      </c>
      <c r="K334" t="str">
        <f>_xlfn.XLOOKUP(tblProduction[[#This Row],[Product]],tblProducts[Product],tblProducts[Category],"Not Found")</f>
        <v>Assembly</v>
      </c>
      <c r="L334">
        <f>_xlfn.XLOOKUP(tblProduction[[#This Row],[Product]],tblProducts[Product],tblProducts[Target_Units],"Not Found")</f>
        <v>900</v>
      </c>
    </row>
    <row r="335" spans="1:12" x14ac:dyDescent="0.3">
      <c r="A335" s="1">
        <v>46060</v>
      </c>
      <c r="B335" t="s">
        <v>15</v>
      </c>
      <c r="C335" t="s">
        <v>12</v>
      </c>
      <c r="D335" t="s">
        <v>14</v>
      </c>
      <c r="E335">
        <v>772</v>
      </c>
      <c r="F335">
        <v>25</v>
      </c>
      <c r="G335">
        <v>52</v>
      </c>
      <c r="H335">
        <v>747</v>
      </c>
      <c r="I335">
        <v>3.2383419689119171</v>
      </c>
      <c r="J335">
        <v>96.761658031088089</v>
      </c>
      <c r="K335" t="str">
        <f>_xlfn.XLOOKUP(tblProduction[[#This Row],[Product]],tblProducts[Product],tblProducts[Category],"Not Found")</f>
        <v>Assembly</v>
      </c>
      <c r="L335">
        <f>_xlfn.XLOOKUP(tblProduction[[#This Row],[Product]],tblProducts[Product],tblProducts[Target_Units],"Not Found")</f>
        <v>850</v>
      </c>
    </row>
    <row r="336" spans="1:12" x14ac:dyDescent="0.3">
      <c r="A336" s="1">
        <v>46060</v>
      </c>
      <c r="B336" t="s">
        <v>15</v>
      </c>
      <c r="C336" t="s">
        <v>13</v>
      </c>
      <c r="D336" t="s">
        <v>18</v>
      </c>
      <c r="E336">
        <v>714</v>
      </c>
      <c r="F336">
        <v>24</v>
      </c>
      <c r="G336">
        <v>80</v>
      </c>
      <c r="H336">
        <v>690</v>
      </c>
      <c r="I336">
        <v>3.3613445378151261</v>
      </c>
      <c r="J336">
        <v>96.638655462184872</v>
      </c>
      <c r="K336" t="str">
        <f>_xlfn.XLOOKUP(tblProduction[[#This Row],[Product]],tblProducts[Product],tblProducts[Category],"Not Found")</f>
        <v>Assembly</v>
      </c>
      <c r="L336">
        <f>_xlfn.XLOOKUP(tblProduction[[#This Row],[Product]],tblProducts[Product],tblProducts[Target_Units],"Not Found")</f>
        <v>900</v>
      </c>
    </row>
    <row r="337" spans="1:12" x14ac:dyDescent="0.3">
      <c r="A337" s="1">
        <v>46060</v>
      </c>
      <c r="B337" t="s">
        <v>17</v>
      </c>
      <c r="C337" t="s">
        <v>10</v>
      </c>
      <c r="D337" t="s">
        <v>11</v>
      </c>
      <c r="E337">
        <v>868</v>
      </c>
      <c r="F337">
        <v>30</v>
      </c>
      <c r="G337">
        <v>10</v>
      </c>
      <c r="H337">
        <v>838</v>
      </c>
      <c r="I337">
        <v>3.4562211981566819</v>
      </c>
      <c r="J337">
        <v>96.543778801843317</v>
      </c>
      <c r="K337" t="str">
        <f>_xlfn.XLOOKUP(tblProduction[[#This Row],[Product]],tblProducts[Product],tblProducts[Category],"Not Found")</f>
        <v>Precision</v>
      </c>
      <c r="L337">
        <f>_xlfn.XLOOKUP(tblProduction[[#This Row],[Product]],tblProducts[Product],tblProducts[Target_Units],"Not Found")</f>
        <v>950</v>
      </c>
    </row>
    <row r="338" spans="1:12" x14ac:dyDescent="0.3">
      <c r="A338" s="1">
        <v>46060</v>
      </c>
      <c r="B338" t="s">
        <v>17</v>
      </c>
      <c r="C338" t="s">
        <v>12</v>
      </c>
      <c r="D338" t="s">
        <v>14</v>
      </c>
      <c r="E338">
        <v>664</v>
      </c>
      <c r="F338">
        <v>28</v>
      </c>
      <c r="G338">
        <v>23</v>
      </c>
      <c r="H338">
        <v>636</v>
      </c>
      <c r="I338">
        <v>4.2168674698795181</v>
      </c>
      <c r="J338">
        <v>95.783132530120483</v>
      </c>
      <c r="K338" t="str">
        <f>_xlfn.XLOOKUP(tblProduction[[#This Row],[Product]],tblProducts[Product],tblProducts[Category],"Not Found")</f>
        <v>Assembly</v>
      </c>
      <c r="L338">
        <f>_xlfn.XLOOKUP(tblProduction[[#This Row],[Product]],tblProducts[Product],tblProducts[Target_Units],"Not Found")</f>
        <v>850</v>
      </c>
    </row>
    <row r="339" spans="1:12" x14ac:dyDescent="0.3">
      <c r="A339" s="1">
        <v>46060</v>
      </c>
      <c r="B339" t="s">
        <v>17</v>
      </c>
      <c r="C339" t="s">
        <v>13</v>
      </c>
      <c r="D339" t="s">
        <v>18</v>
      </c>
      <c r="E339">
        <v>643</v>
      </c>
      <c r="F339">
        <v>28</v>
      </c>
      <c r="G339">
        <v>73</v>
      </c>
      <c r="H339">
        <v>615</v>
      </c>
      <c r="I339">
        <v>4.3545878693623639</v>
      </c>
      <c r="J339">
        <v>95.645412130637638</v>
      </c>
      <c r="K339" t="str">
        <f>_xlfn.XLOOKUP(tblProduction[[#This Row],[Product]],tblProducts[Product],tblProducts[Category],"Not Found")</f>
        <v>Assembly</v>
      </c>
      <c r="L339">
        <f>_xlfn.XLOOKUP(tblProduction[[#This Row],[Product]],tblProducts[Product],tblProducts[Target_Units],"Not Found")</f>
        <v>900</v>
      </c>
    </row>
    <row r="340" spans="1:12" x14ac:dyDescent="0.3">
      <c r="A340" s="1">
        <v>46061</v>
      </c>
      <c r="B340" t="s">
        <v>9</v>
      </c>
      <c r="C340" t="s">
        <v>10</v>
      </c>
      <c r="D340" t="s">
        <v>11</v>
      </c>
      <c r="E340">
        <v>952</v>
      </c>
      <c r="F340">
        <v>14</v>
      </c>
      <c r="G340">
        <v>62</v>
      </c>
      <c r="H340">
        <v>938</v>
      </c>
      <c r="I340">
        <v>1.470588235294118</v>
      </c>
      <c r="J340">
        <v>98.529411764705884</v>
      </c>
      <c r="K340" t="str">
        <f>_xlfn.XLOOKUP(tblProduction[[#This Row],[Product]],tblProducts[Product],tblProducts[Category],"Not Found")</f>
        <v>Precision</v>
      </c>
      <c r="L340">
        <f>_xlfn.XLOOKUP(tblProduction[[#This Row],[Product]],tblProducts[Product],tblProducts[Target_Units],"Not Found")</f>
        <v>950</v>
      </c>
    </row>
    <row r="341" spans="1:12" x14ac:dyDescent="0.3">
      <c r="A341" s="1">
        <v>46061</v>
      </c>
      <c r="B341" t="s">
        <v>9</v>
      </c>
      <c r="C341" t="s">
        <v>12</v>
      </c>
      <c r="D341" t="s">
        <v>14</v>
      </c>
      <c r="E341">
        <v>869</v>
      </c>
      <c r="F341">
        <v>19</v>
      </c>
      <c r="G341">
        <v>10</v>
      </c>
      <c r="H341">
        <v>850</v>
      </c>
      <c r="I341">
        <v>2.186421173762946</v>
      </c>
      <c r="J341">
        <v>97.813578826237062</v>
      </c>
      <c r="K341" t="str">
        <f>_xlfn.XLOOKUP(tblProduction[[#This Row],[Product]],tblProducts[Product],tblProducts[Category],"Not Found")</f>
        <v>Assembly</v>
      </c>
      <c r="L341">
        <f>_xlfn.XLOOKUP(tblProduction[[#This Row],[Product]],tblProducts[Product],tblProducts[Target_Units],"Not Found")</f>
        <v>850</v>
      </c>
    </row>
    <row r="342" spans="1:12" x14ac:dyDescent="0.3">
      <c r="A342" s="1">
        <v>46061</v>
      </c>
      <c r="B342" t="s">
        <v>9</v>
      </c>
      <c r="C342" t="s">
        <v>13</v>
      </c>
      <c r="D342" t="s">
        <v>11</v>
      </c>
      <c r="E342">
        <v>847</v>
      </c>
      <c r="F342">
        <v>21</v>
      </c>
      <c r="G342">
        <v>61</v>
      </c>
      <c r="H342">
        <v>826</v>
      </c>
      <c r="I342">
        <v>2.4793388429752068</v>
      </c>
      <c r="J342">
        <v>97.52066115702479</v>
      </c>
      <c r="K342" t="str">
        <f>_xlfn.XLOOKUP(tblProduction[[#This Row],[Product]],tblProducts[Product],tblProducts[Category],"Not Found")</f>
        <v>Precision</v>
      </c>
      <c r="L342">
        <f>_xlfn.XLOOKUP(tblProduction[[#This Row],[Product]],tblProducts[Product],tblProducts[Target_Units],"Not Found")</f>
        <v>950</v>
      </c>
    </row>
    <row r="343" spans="1:12" x14ac:dyDescent="0.3">
      <c r="A343" s="1">
        <v>46061</v>
      </c>
      <c r="B343" t="s">
        <v>15</v>
      </c>
      <c r="C343" t="s">
        <v>10</v>
      </c>
      <c r="D343" t="s">
        <v>16</v>
      </c>
      <c r="E343">
        <v>923</v>
      </c>
      <c r="F343">
        <v>23</v>
      </c>
      <c r="G343">
        <v>55</v>
      </c>
      <c r="H343">
        <v>900</v>
      </c>
      <c r="I343">
        <v>2.4918743228602378</v>
      </c>
      <c r="J343">
        <v>97.508125677139759</v>
      </c>
      <c r="K343" t="str">
        <f>_xlfn.XLOOKUP(tblProduction[[#This Row],[Product]],tblProducts[Product],tblProducts[Category],"Not Found")</f>
        <v>Standard</v>
      </c>
      <c r="L343">
        <f>_xlfn.XLOOKUP(tblProduction[[#This Row],[Product]],tblProducts[Product],tblProducts[Target_Units],"Not Found")</f>
        <v>1000</v>
      </c>
    </row>
    <row r="344" spans="1:12" x14ac:dyDescent="0.3">
      <c r="A344" s="1">
        <v>46061</v>
      </c>
      <c r="B344" t="s">
        <v>15</v>
      </c>
      <c r="C344" t="s">
        <v>12</v>
      </c>
      <c r="D344" t="s">
        <v>11</v>
      </c>
      <c r="E344">
        <v>801</v>
      </c>
      <c r="F344">
        <v>20</v>
      </c>
      <c r="G344">
        <v>73</v>
      </c>
      <c r="H344">
        <v>781</v>
      </c>
      <c r="I344">
        <v>2.4968789013732828</v>
      </c>
      <c r="J344">
        <v>97.503121098626721</v>
      </c>
      <c r="K344" t="str">
        <f>_xlfn.XLOOKUP(tblProduction[[#This Row],[Product]],tblProducts[Product],tblProducts[Category],"Not Found")</f>
        <v>Precision</v>
      </c>
      <c r="L344">
        <f>_xlfn.XLOOKUP(tblProduction[[#This Row],[Product]],tblProducts[Product],tblProducts[Target_Units],"Not Found")</f>
        <v>950</v>
      </c>
    </row>
    <row r="345" spans="1:12" x14ac:dyDescent="0.3">
      <c r="A345" s="1">
        <v>46061</v>
      </c>
      <c r="B345" t="s">
        <v>15</v>
      </c>
      <c r="C345" t="s">
        <v>13</v>
      </c>
      <c r="D345" t="s">
        <v>14</v>
      </c>
      <c r="E345">
        <v>715</v>
      </c>
      <c r="F345">
        <v>30</v>
      </c>
      <c r="G345">
        <v>38</v>
      </c>
      <c r="H345">
        <v>685</v>
      </c>
      <c r="I345">
        <v>4.1958041958041958</v>
      </c>
      <c r="J345">
        <v>95.8041958041958</v>
      </c>
      <c r="K345" t="str">
        <f>_xlfn.XLOOKUP(tblProduction[[#This Row],[Product]],tblProducts[Product],tblProducts[Category],"Not Found")</f>
        <v>Assembly</v>
      </c>
      <c r="L345">
        <f>_xlfn.XLOOKUP(tblProduction[[#This Row],[Product]],tblProducts[Product],tblProducts[Target_Units],"Not Found")</f>
        <v>850</v>
      </c>
    </row>
    <row r="346" spans="1:12" x14ac:dyDescent="0.3">
      <c r="A346" s="1">
        <v>46061</v>
      </c>
      <c r="B346" t="s">
        <v>17</v>
      </c>
      <c r="C346" t="s">
        <v>10</v>
      </c>
      <c r="D346" t="s">
        <v>16</v>
      </c>
      <c r="E346">
        <v>880</v>
      </c>
      <c r="F346">
        <v>30</v>
      </c>
      <c r="G346">
        <v>13</v>
      </c>
      <c r="H346">
        <v>850</v>
      </c>
      <c r="I346">
        <v>3.4090909090909092</v>
      </c>
      <c r="J346">
        <v>96.590909090909093</v>
      </c>
      <c r="K346" t="str">
        <f>_xlfn.XLOOKUP(tblProduction[[#This Row],[Product]],tblProducts[Product],tblProducts[Category],"Not Found")</f>
        <v>Standard</v>
      </c>
      <c r="L346">
        <f>_xlfn.XLOOKUP(tblProduction[[#This Row],[Product]],tblProducts[Product],tblProducts[Target_Units],"Not Found")</f>
        <v>1000</v>
      </c>
    </row>
    <row r="347" spans="1:12" x14ac:dyDescent="0.3">
      <c r="A347" s="1">
        <v>46061</v>
      </c>
      <c r="B347" t="s">
        <v>17</v>
      </c>
      <c r="C347" t="s">
        <v>12</v>
      </c>
      <c r="D347" t="s">
        <v>11</v>
      </c>
      <c r="E347">
        <v>744</v>
      </c>
      <c r="F347">
        <v>26</v>
      </c>
      <c r="G347">
        <v>63</v>
      </c>
      <c r="H347">
        <v>718</v>
      </c>
      <c r="I347">
        <v>3.4946236559139781</v>
      </c>
      <c r="J347">
        <v>96.505376344086031</v>
      </c>
      <c r="K347" t="str">
        <f>_xlfn.XLOOKUP(tblProduction[[#This Row],[Product]],tblProducts[Product],tblProducts[Category],"Not Found")</f>
        <v>Precision</v>
      </c>
      <c r="L347">
        <f>_xlfn.XLOOKUP(tblProduction[[#This Row],[Product]],tblProducts[Product],tblProducts[Target_Units],"Not Found")</f>
        <v>950</v>
      </c>
    </row>
    <row r="348" spans="1:12" x14ac:dyDescent="0.3">
      <c r="A348" s="1">
        <v>46061</v>
      </c>
      <c r="B348" t="s">
        <v>17</v>
      </c>
      <c r="C348" t="s">
        <v>13</v>
      </c>
      <c r="D348" t="s">
        <v>18</v>
      </c>
      <c r="E348">
        <v>602</v>
      </c>
      <c r="F348">
        <v>27</v>
      </c>
      <c r="G348">
        <v>69</v>
      </c>
      <c r="H348">
        <v>575</v>
      </c>
      <c r="I348">
        <v>4.485049833887043</v>
      </c>
      <c r="J348">
        <v>95.514950166112953</v>
      </c>
      <c r="K348" t="str">
        <f>_xlfn.XLOOKUP(tblProduction[[#This Row],[Product]],tblProducts[Product],tblProducts[Category],"Not Found")</f>
        <v>Assembly</v>
      </c>
      <c r="L348">
        <f>_xlfn.XLOOKUP(tblProduction[[#This Row],[Product]],tblProducts[Product],tblProducts[Target_Units],"Not Found")</f>
        <v>900</v>
      </c>
    </row>
    <row r="349" spans="1:12" x14ac:dyDescent="0.3">
      <c r="A349" s="1">
        <v>46062</v>
      </c>
      <c r="B349" t="s">
        <v>9</v>
      </c>
      <c r="C349" t="s">
        <v>10</v>
      </c>
      <c r="D349" t="s">
        <v>14</v>
      </c>
      <c r="E349">
        <v>886</v>
      </c>
      <c r="F349">
        <v>20</v>
      </c>
      <c r="G349">
        <v>31</v>
      </c>
      <c r="H349">
        <v>866</v>
      </c>
      <c r="I349">
        <v>2.2573363431151239</v>
      </c>
      <c r="J349">
        <v>97.742663656884872</v>
      </c>
      <c r="K349" t="str">
        <f>_xlfn.XLOOKUP(tblProduction[[#This Row],[Product]],tblProducts[Product],tblProducts[Category],"Not Found")</f>
        <v>Assembly</v>
      </c>
      <c r="L349">
        <f>_xlfn.XLOOKUP(tblProduction[[#This Row],[Product]],tblProducts[Product],tblProducts[Target_Units],"Not Found")</f>
        <v>850</v>
      </c>
    </row>
    <row r="350" spans="1:12" x14ac:dyDescent="0.3">
      <c r="A350" s="1">
        <v>46062</v>
      </c>
      <c r="B350" t="s">
        <v>9</v>
      </c>
      <c r="C350" t="s">
        <v>12</v>
      </c>
      <c r="D350" t="s">
        <v>18</v>
      </c>
      <c r="E350">
        <v>851</v>
      </c>
      <c r="F350">
        <v>12</v>
      </c>
      <c r="G350">
        <v>44</v>
      </c>
      <c r="H350">
        <v>839</v>
      </c>
      <c r="I350">
        <v>1.410105757931845</v>
      </c>
      <c r="J350">
        <v>98.589894242068155</v>
      </c>
      <c r="K350" t="str">
        <f>_xlfn.XLOOKUP(tblProduction[[#This Row],[Product]],tblProducts[Product],tblProducts[Category],"Not Found")</f>
        <v>Assembly</v>
      </c>
      <c r="L350">
        <f>_xlfn.XLOOKUP(tblProduction[[#This Row],[Product]],tblProducts[Product],tblProducts[Target_Units],"Not Found")</f>
        <v>900</v>
      </c>
    </row>
    <row r="351" spans="1:12" x14ac:dyDescent="0.3">
      <c r="A351" s="1">
        <v>46062</v>
      </c>
      <c r="B351" t="s">
        <v>9</v>
      </c>
      <c r="C351" t="s">
        <v>13</v>
      </c>
      <c r="D351" t="s">
        <v>11</v>
      </c>
      <c r="E351">
        <v>899</v>
      </c>
      <c r="F351">
        <v>22</v>
      </c>
      <c r="G351">
        <v>6</v>
      </c>
      <c r="H351">
        <v>877</v>
      </c>
      <c r="I351">
        <v>2.4471635150166851</v>
      </c>
      <c r="J351">
        <v>97.552836484983317</v>
      </c>
      <c r="K351" t="str">
        <f>_xlfn.XLOOKUP(tblProduction[[#This Row],[Product]],tblProducts[Product],tblProducts[Category],"Not Found")</f>
        <v>Precision</v>
      </c>
      <c r="L351">
        <f>_xlfn.XLOOKUP(tblProduction[[#This Row],[Product]],tblProducts[Product],tblProducts[Target_Units],"Not Found")</f>
        <v>950</v>
      </c>
    </row>
    <row r="352" spans="1:12" x14ac:dyDescent="0.3">
      <c r="A352" s="1">
        <v>46062</v>
      </c>
      <c r="B352" t="s">
        <v>15</v>
      </c>
      <c r="C352" t="s">
        <v>10</v>
      </c>
      <c r="D352" t="s">
        <v>11</v>
      </c>
      <c r="E352">
        <v>959</v>
      </c>
      <c r="F352">
        <v>23</v>
      </c>
      <c r="G352">
        <v>1</v>
      </c>
      <c r="H352">
        <v>936</v>
      </c>
      <c r="I352">
        <v>2.3983315954118871</v>
      </c>
      <c r="J352">
        <v>97.601668404588111</v>
      </c>
      <c r="K352" t="str">
        <f>_xlfn.XLOOKUP(tblProduction[[#This Row],[Product]],tblProducts[Product],tblProducts[Category],"Not Found")</f>
        <v>Precision</v>
      </c>
      <c r="L352">
        <f>_xlfn.XLOOKUP(tblProduction[[#This Row],[Product]],tblProducts[Product],tblProducts[Target_Units],"Not Found")</f>
        <v>950</v>
      </c>
    </row>
    <row r="353" spans="1:12" x14ac:dyDescent="0.3">
      <c r="A353" s="1">
        <v>46062</v>
      </c>
      <c r="B353" t="s">
        <v>15</v>
      </c>
      <c r="C353" t="s">
        <v>12</v>
      </c>
      <c r="D353" t="s">
        <v>16</v>
      </c>
      <c r="E353">
        <v>907</v>
      </c>
      <c r="F353">
        <v>22</v>
      </c>
      <c r="G353">
        <v>34</v>
      </c>
      <c r="H353">
        <v>885</v>
      </c>
      <c r="I353">
        <v>2.4255788313120181</v>
      </c>
      <c r="J353">
        <v>97.574421168687991</v>
      </c>
      <c r="K353" t="str">
        <f>_xlfn.XLOOKUP(tblProduction[[#This Row],[Product]],tblProducts[Product],tblProducts[Category],"Not Found")</f>
        <v>Standard</v>
      </c>
      <c r="L353">
        <f>_xlfn.XLOOKUP(tblProduction[[#This Row],[Product]],tblProducts[Product],tblProducts[Target_Units],"Not Found")</f>
        <v>1000</v>
      </c>
    </row>
    <row r="354" spans="1:12" x14ac:dyDescent="0.3">
      <c r="A354" s="1">
        <v>46062</v>
      </c>
      <c r="B354" t="s">
        <v>15</v>
      </c>
      <c r="C354" t="s">
        <v>13</v>
      </c>
      <c r="D354" t="s">
        <v>14</v>
      </c>
      <c r="E354">
        <v>740</v>
      </c>
      <c r="F354">
        <v>31</v>
      </c>
      <c r="G354">
        <v>29</v>
      </c>
      <c r="H354">
        <v>709</v>
      </c>
      <c r="I354">
        <v>4.1891891891891886</v>
      </c>
      <c r="J354">
        <v>95.810810810810807</v>
      </c>
      <c r="K354" t="str">
        <f>_xlfn.XLOOKUP(tblProduction[[#This Row],[Product]],tblProducts[Product],tblProducts[Category],"Not Found")</f>
        <v>Assembly</v>
      </c>
      <c r="L354">
        <f>_xlfn.XLOOKUP(tblProduction[[#This Row],[Product]],tblProducts[Product],tblProducts[Target_Units],"Not Found")</f>
        <v>850</v>
      </c>
    </row>
    <row r="355" spans="1:12" x14ac:dyDescent="0.3">
      <c r="A355" s="1">
        <v>46062</v>
      </c>
      <c r="B355" t="s">
        <v>17</v>
      </c>
      <c r="C355" t="s">
        <v>10</v>
      </c>
      <c r="D355" t="s">
        <v>18</v>
      </c>
      <c r="E355">
        <v>711</v>
      </c>
      <c r="F355">
        <v>24</v>
      </c>
      <c r="G355">
        <v>70</v>
      </c>
      <c r="H355">
        <v>687</v>
      </c>
      <c r="I355">
        <v>3.3755274261603372</v>
      </c>
      <c r="J355">
        <v>96.624472573839654</v>
      </c>
      <c r="K355" t="str">
        <f>_xlfn.XLOOKUP(tblProduction[[#This Row],[Product]],tblProducts[Product],tblProducts[Category],"Not Found")</f>
        <v>Assembly</v>
      </c>
      <c r="L355">
        <f>_xlfn.XLOOKUP(tblProduction[[#This Row],[Product]],tblProducts[Product],tblProducts[Target_Units],"Not Found")</f>
        <v>900</v>
      </c>
    </row>
    <row r="356" spans="1:12" x14ac:dyDescent="0.3">
      <c r="A356" s="1">
        <v>46062</v>
      </c>
      <c r="B356" t="s">
        <v>17</v>
      </c>
      <c r="C356" t="s">
        <v>12</v>
      </c>
      <c r="D356" t="s">
        <v>11</v>
      </c>
      <c r="E356">
        <v>701</v>
      </c>
      <c r="F356">
        <v>24</v>
      </c>
      <c r="G356">
        <v>86</v>
      </c>
      <c r="H356">
        <v>677</v>
      </c>
      <c r="I356">
        <v>3.4236804564907271</v>
      </c>
      <c r="J356">
        <v>96.576319543509271</v>
      </c>
      <c r="K356" t="str">
        <f>_xlfn.XLOOKUP(tblProduction[[#This Row],[Product]],tblProducts[Product],tblProducts[Category],"Not Found")</f>
        <v>Precision</v>
      </c>
      <c r="L356">
        <f>_xlfn.XLOOKUP(tblProduction[[#This Row],[Product]],tblProducts[Product],tblProducts[Target_Units],"Not Found")</f>
        <v>950</v>
      </c>
    </row>
    <row r="357" spans="1:12" x14ac:dyDescent="0.3">
      <c r="A357" s="1">
        <v>46062</v>
      </c>
      <c r="B357" t="s">
        <v>17</v>
      </c>
      <c r="C357" t="s">
        <v>13</v>
      </c>
      <c r="D357" t="s">
        <v>18</v>
      </c>
      <c r="E357">
        <v>688</v>
      </c>
      <c r="F357">
        <v>30</v>
      </c>
      <c r="G357">
        <v>23</v>
      </c>
      <c r="H357">
        <v>658</v>
      </c>
      <c r="I357">
        <v>4.3604651162790704</v>
      </c>
      <c r="J357">
        <v>95.639534883720927</v>
      </c>
      <c r="K357" t="str">
        <f>_xlfn.XLOOKUP(tblProduction[[#This Row],[Product]],tblProducts[Product],tblProducts[Category],"Not Found")</f>
        <v>Assembly</v>
      </c>
      <c r="L357">
        <f>_xlfn.XLOOKUP(tblProduction[[#This Row],[Product]],tblProducts[Product],tblProducts[Target_Units],"Not Found")</f>
        <v>900</v>
      </c>
    </row>
    <row r="358" spans="1:12" x14ac:dyDescent="0.3">
      <c r="A358" s="1">
        <v>46063</v>
      </c>
      <c r="B358" t="s">
        <v>9</v>
      </c>
      <c r="C358" t="s">
        <v>10</v>
      </c>
      <c r="D358" t="s">
        <v>14</v>
      </c>
      <c r="E358">
        <v>817</v>
      </c>
      <c r="F358">
        <v>18</v>
      </c>
      <c r="G358">
        <v>51</v>
      </c>
      <c r="H358">
        <v>799</v>
      </c>
      <c r="I358">
        <v>2.203182374541004</v>
      </c>
      <c r="J358">
        <v>97.796817625458999</v>
      </c>
      <c r="K358" t="str">
        <f>_xlfn.XLOOKUP(tblProduction[[#This Row],[Product]],tblProducts[Product],tblProducts[Category],"Not Found")</f>
        <v>Assembly</v>
      </c>
      <c r="L358">
        <f>_xlfn.XLOOKUP(tblProduction[[#This Row],[Product]],tblProducts[Product],tblProducts[Target_Units],"Not Found")</f>
        <v>850</v>
      </c>
    </row>
    <row r="359" spans="1:12" x14ac:dyDescent="0.3">
      <c r="A359" s="1">
        <v>46063</v>
      </c>
      <c r="B359" t="s">
        <v>9</v>
      </c>
      <c r="C359" t="s">
        <v>12</v>
      </c>
      <c r="D359" t="s">
        <v>14</v>
      </c>
      <c r="E359">
        <v>849</v>
      </c>
      <c r="F359">
        <v>19</v>
      </c>
      <c r="G359">
        <v>51</v>
      </c>
      <c r="H359">
        <v>830</v>
      </c>
      <c r="I359">
        <v>2.237926972909305</v>
      </c>
      <c r="J359">
        <v>97.762073027090693</v>
      </c>
      <c r="K359" t="str">
        <f>_xlfn.XLOOKUP(tblProduction[[#This Row],[Product]],tblProducts[Product],tblProducts[Category],"Not Found")</f>
        <v>Assembly</v>
      </c>
      <c r="L359">
        <f>_xlfn.XLOOKUP(tblProduction[[#This Row],[Product]],tblProducts[Product],tblProducts[Target_Units],"Not Found")</f>
        <v>850</v>
      </c>
    </row>
    <row r="360" spans="1:12" x14ac:dyDescent="0.3">
      <c r="A360" s="1">
        <v>46063</v>
      </c>
      <c r="B360" t="s">
        <v>9</v>
      </c>
      <c r="C360" t="s">
        <v>13</v>
      </c>
      <c r="D360" t="s">
        <v>18</v>
      </c>
      <c r="E360">
        <v>761</v>
      </c>
      <c r="F360">
        <v>19</v>
      </c>
      <c r="G360">
        <v>74</v>
      </c>
      <c r="H360">
        <v>742</v>
      </c>
      <c r="I360">
        <v>2.4967148488830491</v>
      </c>
      <c r="J360">
        <v>97.503285151116941</v>
      </c>
      <c r="K360" t="str">
        <f>_xlfn.XLOOKUP(tblProduction[[#This Row],[Product]],tblProducts[Product],tblProducts[Category],"Not Found")</f>
        <v>Assembly</v>
      </c>
      <c r="L360">
        <f>_xlfn.XLOOKUP(tblProduction[[#This Row],[Product]],tblProducts[Product],tblProducts[Target_Units],"Not Found")</f>
        <v>900</v>
      </c>
    </row>
    <row r="361" spans="1:12" x14ac:dyDescent="0.3">
      <c r="A361" s="1">
        <v>46063</v>
      </c>
      <c r="B361" t="s">
        <v>15</v>
      </c>
      <c r="C361" t="s">
        <v>10</v>
      </c>
      <c r="D361" t="s">
        <v>16</v>
      </c>
      <c r="E361">
        <v>882</v>
      </c>
      <c r="F361">
        <v>22</v>
      </c>
      <c r="G361">
        <v>56</v>
      </c>
      <c r="H361">
        <v>860</v>
      </c>
      <c r="I361">
        <v>2.4943310657596371</v>
      </c>
      <c r="J361">
        <v>97.505668934240362</v>
      </c>
      <c r="K361" t="str">
        <f>_xlfn.XLOOKUP(tblProduction[[#This Row],[Product]],tblProducts[Product],tblProducts[Category],"Not Found")</f>
        <v>Standard</v>
      </c>
      <c r="L361">
        <f>_xlfn.XLOOKUP(tblProduction[[#This Row],[Product]],tblProducts[Product],tblProducts[Target_Units],"Not Found")</f>
        <v>1000</v>
      </c>
    </row>
    <row r="362" spans="1:12" x14ac:dyDescent="0.3">
      <c r="A362" s="1">
        <v>46063</v>
      </c>
      <c r="B362" t="s">
        <v>15</v>
      </c>
      <c r="C362" t="s">
        <v>12</v>
      </c>
      <c r="D362" t="s">
        <v>14</v>
      </c>
      <c r="E362">
        <v>708</v>
      </c>
      <c r="F362">
        <v>23</v>
      </c>
      <c r="G362">
        <v>90</v>
      </c>
      <c r="H362">
        <v>685</v>
      </c>
      <c r="I362">
        <v>3.2485875706214689</v>
      </c>
      <c r="J362">
        <v>96.751412429378533</v>
      </c>
      <c r="K362" t="str">
        <f>_xlfn.XLOOKUP(tblProduction[[#This Row],[Product]],tblProducts[Product],tblProducts[Category],"Not Found")</f>
        <v>Assembly</v>
      </c>
      <c r="L362">
        <f>_xlfn.XLOOKUP(tblProduction[[#This Row],[Product]],tblProducts[Product],tblProducts[Target_Units],"Not Found")</f>
        <v>850</v>
      </c>
    </row>
    <row r="363" spans="1:12" x14ac:dyDescent="0.3">
      <c r="A363" s="1">
        <v>46063</v>
      </c>
      <c r="B363" t="s">
        <v>15</v>
      </c>
      <c r="C363" t="s">
        <v>13</v>
      </c>
      <c r="D363" t="s">
        <v>18</v>
      </c>
      <c r="E363">
        <v>753</v>
      </c>
      <c r="F363">
        <v>26</v>
      </c>
      <c r="G363">
        <v>27</v>
      </c>
      <c r="H363">
        <v>727</v>
      </c>
      <c r="I363">
        <v>3.452855245683931</v>
      </c>
      <c r="J363">
        <v>96.547144754316065</v>
      </c>
      <c r="K363" t="str">
        <f>_xlfn.XLOOKUP(tblProduction[[#This Row],[Product]],tblProducts[Product],tblProducts[Category],"Not Found")</f>
        <v>Assembly</v>
      </c>
      <c r="L363">
        <f>_xlfn.XLOOKUP(tblProduction[[#This Row],[Product]],tblProducts[Product],tblProducts[Target_Units],"Not Found")</f>
        <v>900</v>
      </c>
    </row>
    <row r="364" spans="1:12" x14ac:dyDescent="0.3">
      <c r="A364" s="1">
        <v>46063</v>
      </c>
      <c r="B364" t="s">
        <v>17</v>
      </c>
      <c r="C364" t="s">
        <v>10</v>
      </c>
      <c r="D364" t="s">
        <v>16</v>
      </c>
      <c r="E364">
        <v>852</v>
      </c>
      <c r="F364">
        <v>29</v>
      </c>
      <c r="G364">
        <v>6</v>
      </c>
      <c r="H364">
        <v>823</v>
      </c>
      <c r="I364">
        <v>3.403755868544601</v>
      </c>
      <c r="J364">
        <v>96.596244131455393</v>
      </c>
      <c r="K364" t="str">
        <f>_xlfn.XLOOKUP(tblProduction[[#This Row],[Product]],tblProducts[Product],tblProducts[Category],"Not Found")</f>
        <v>Standard</v>
      </c>
      <c r="L364">
        <f>_xlfn.XLOOKUP(tblProduction[[#This Row],[Product]],tblProducts[Product],tblProducts[Target_Units],"Not Found")</f>
        <v>1000</v>
      </c>
    </row>
    <row r="365" spans="1:12" x14ac:dyDescent="0.3">
      <c r="A365" s="1">
        <v>46063</v>
      </c>
      <c r="B365" t="s">
        <v>17</v>
      </c>
      <c r="C365" t="s">
        <v>12</v>
      </c>
      <c r="D365" t="s">
        <v>14</v>
      </c>
      <c r="E365">
        <v>632</v>
      </c>
      <c r="F365">
        <v>27</v>
      </c>
      <c r="G365">
        <v>88</v>
      </c>
      <c r="H365">
        <v>605</v>
      </c>
      <c r="I365">
        <v>4.2721518987341769</v>
      </c>
      <c r="J365">
        <v>95.72784810126582</v>
      </c>
      <c r="K365" t="str">
        <f>_xlfn.XLOOKUP(tblProduction[[#This Row],[Product]],tblProducts[Product],tblProducts[Category],"Not Found")</f>
        <v>Assembly</v>
      </c>
      <c r="L365">
        <f>_xlfn.XLOOKUP(tblProduction[[#This Row],[Product]],tblProducts[Product],tblProducts[Target_Units],"Not Found")</f>
        <v>850</v>
      </c>
    </row>
    <row r="366" spans="1:12" x14ac:dyDescent="0.3">
      <c r="A366" s="1">
        <v>46063</v>
      </c>
      <c r="B366" t="s">
        <v>17</v>
      </c>
      <c r="C366" t="s">
        <v>13</v>
      </c>
      <c r="D366" t="s">
        <v>16</v>
      </c>
      <c r="E366">
        <v>799</v>
      </c>
      <c r="F366">
        <v>35</v>
      </c>
      <c r="G366">
        <v>22</v>
      </c>
      <c r="H366">
        <v>764</v>
      </c>
      <c r="I366">
        <v>4.3804755944931166</v>
      </c>
      <c r="J366">
        <v>95.61952440550688</v>
      </c>
      <c r="K366" t="str">
        <f>_xlfn.XLOOKUP(tblProduction[[#This Row],[Product]],tblProducts[Product],tblProducts[Category],"Not Found")</f>
        <v>Standard</v>
      </c>
      <c r="L366">
        <f>_xlfn.XLOOKUP(tblProduction[[#This Row],[Product]],tblProducts[Product],tblProducts[Target_Units],"Not Found")</f>
        <v>1000</v>
      </c>
    </row>
    <row r="367" spans="1:12" x14ac:dyDescent="0.3">
      <c r="A367" s="1">
        <v>46064</v>
      </c>
      <c r="B367" t="s">
        <v>9</v>
      </c>
      <c r="C367" t="s">
        <v>10</v>
      </c>
      <c r="D367" t="s">
        <v>11</v>
      </c>
      <c r="E367">
        <v>939</v>
      </c>
      <c r="F367">
        <v>14</v>
      </c>
      <c r="G367">
        <v>73</v>
      </c>
      <c r="H367">
        <v>925</v>
      </c>
      <c r="I367">
        <v>1.490947816826411</v>
      </c>
      <c r="J367">
        <v>98.50905218317358</v>
      </c>
      <c r="K367" t="str">
        <f>_xlfn.XLOOKUP(tblProduction[[#This Row],[Product]],tblProducts[Product],tblProducts[Category],"Not Found")</f>
        <v>Precision</v>
      </c>
      <c r="L367">
        <f>_xlfn.XLOOKUP(tblProduction[[#This Row],[Product]],tblProducts[Product],tblProducts[Target_Units],"Not Found")</f>
        <v>950</v>
      </c>
    </row>
    <row r="368" spans="1:12" x14ac:dyDescent="0.3">
      <c r="A368" s="1">
        <v>46064</v>
      </c>
      <c r="B368" t="s">
        <v>9</v>
      </c>
      <c r="C368" t="s">
        <v>12</v>
      </c>
      <c r="D368" t="s">
        <v>16</v>
      </c>
      <c r="E368">
        <v>994</v>
      </c>
      <c r="F368">
        <v>14</v>
      </c>
      <c r="G368">
        <v>23</v>
      </c>
      <c r="H368">
        <v>980</v>
      </c>
      <c r="I368">
        <v>1.408450704225352</v>
      </c>
      <c r="J368">
        <v>98.591549295774655</v>
      </c>
      <c r="K368" t="str">
        <f>_xlfn.XLOOKUP(tblProduction[[#This Row],[Product]],tblProducts[Product],tblProducts[Category],"Not Found")</f>
        <v>Standard</v>
      </c>
      <c r="L368">
        <f>_xlfn.XLOOKUP(tblProduction[[#This Row],[Product]],tblProducts[Product],tblProducts[Target_Units],"Not Found")</f>
        <v>1000</v>
      </c>
    </row>
    <row r="369" spans="1:12" x14ac:dyDescent="0.3">
      <c r="A369" s="1">
        <v>46064</v>
      </c>
      <c r="B369" t="s">
        <v>9</v>
      </c>
      <c r="C369" t="s">
        <v>13</v>
      </c>
      <c r="D369" t="s">
        <v>14</v>
      </c>
      <c r="E369">
        <v>750</v>
      </c>
      <c r="F369">
        <v>24</v>
      </c>
      <c r="G369">
        <v>60</v>
      </c>
      <c r="H369">
        <v>726</v>
      </c>
      <c r="I369">
        <v>3.2</v>
      </c>
      <c r="J369">
        <v>96.8</v>
      </c>
      <c r="K369" t="str">
        <f>_xlfn.XLOOKUP(tblProduction[[#This Row],[Product]],tblProducts[Product],tblProducts[Category],"Not Found")</f>
        <v>Assembly</v>
      </c>
      <c r="L369">
        <f>_xlfn.XLOOKUP(tblProduction[[#This Row],[Product]],tblProducts[Product],tblProducts[Target_Units],"Not Found")</f>
        <v>850</v>
      </c>
    </row>
    <row r="370" spans="1:12" x14ac:dyDescent="0.3">
      <c r="A370" s="1">
        <v>46064</v>
      </c>
      <c r="B370" t="s">
        <v>15</v>
      </c>
      <c r="C370" t="s">
        <v>10</v>
      </c>
      <c r="D370" t="s">
        <v>18</v>
      </c>
      <c r="E370">
        <v>777</v>
      </c>
      <c r="F370">
        <v>19</v>
      </c>
      <c r="G370">
        <v>57</v>
      </c>
      <c r="H370">
        <v>758</v>
      </c>
      <c r="I370">
        <v>2.445302445302445</v>
      </c>
      <c r="J370">
        <v>97.554697554697555</v>
      </c>
      <c r="K370" t="str">
        <f>_xlfn.XLOOKUP(tblProduction[[#This Row],[Product]],tblProducts[Product],tblProducts[Category],"Not Found")</f>
        <v>Assembly</v>
      </c>
      <c r="L370">
        <f>_xlfn.XLOOKUP(tblProduction[[#This Row],[Product]],tblProducts[Product],tblProducts[Target_Units],"Not Found")</f>
        <v>900</v>
      </c>
    </row>
    <row r="371" spans="1:12" x14ac:dyDescent="0.3">
      <c r="A371" s="1">
        <v>46064</v>
      </c>
      <c r="B371" t="s">
        <v>15</v>
      </c>
      <c r="C371" t="s">
        <v>12</v>
      </c>
      <c r="D371" t="s">
        <v>18</v>
      </c>
      <c r="E371">
        <v>736</v>
      </c>
      <c r="F371">
        <v>18</v>
      </c>
      <c r="G371">
        <v>85</v>
      </c>
      <c r="H371">
        <v>718</v>
      </c>
      <c r="I371">
        <v>2.445652173913043</v>
      </c>
      <c r="J371">
        <v>97.554347826086953</v>
      </c>
      <c r="K371" t="str">
        <f>_xlfn.XLOOKUP(tblProduction[[#This Row],[Product]],tblProducts[Product],tblProducts[Category],"Not Found")</f>
        <v>Assembly</v>
      </c>
      <c r="L371">
        <f>_xlfn.XLOOKUP(tblProduction[[#This Row],[Product]],tblProducts[Product],tblProducts[Target_Units],"Not Found")</f>
        <v>900</v>
      </c>
    </row>
    <row r="372" spans="1:12" x14ac:dyDescent="0.3">
      <c r="A372" s="1">
        <v>46064</v>
      </c>
      <c r="B372" t="s">
        <v>15</v>
      </c>
      <c r="C372" t="s">
        <v>13</v>
      </c>
      <c r="D372" t="s">
        <v>11</v>
      </c>
      <c r="E372">
        <v>800</v>
      </c>
      <c r="F372">
        <v>28</v>
      </c>
      <c r="G372">
        <v>7</v>
      </c>
      <c r="H372">
        <v>772</v>
      </c>
      <c r="I372">
        <v>3.5</v>
      </c>
      <c r="J372">
        <v>96.5</v>
      </c>
      <c r="K372" t="str">
        <f>_xlfn.XLOOKUP(tblProduction[[#This Row],[Product]],tblProducts[Product],tblProducts[Category],"Not Found")</f>
        <v>Precision</v>
      </c>
      <c r="L372">
        <f>_xlfn.XLOOKUP(tblProduction[[#This Row],[Product]],tblProducts[Product],tblProducts[Target_Units],"Not Found")</f>
        <v>950</v>
      </c>
    </row>
    <row r="373" spans="1:12" x14ac:dyDescent="0.3">
      <c r="A373" s="1">
        <v>46064</v>
      </c>
      <c r="B373" t="s">
        <v>17</v>
      </c>
      <c r="C373" t="s">
        <v>10</v>
      </c>
      <c r="D373" t="s">
        <v>14</v>
      </c>
      <c r="E373">
        <v>753</v>
      </c>
      <c r="F373">
        <v>32</v>
      </c>
      <c r="G373">
        <v>25</v>
      </c>
      <c r="H373">
        <v>721</v>
      </c>
      <c r="I373">
        <v>4.2496679946879148</v>
      </c>
      <c r="J373">
        <v>95.750332005312089</v>
      </c>
      <c r="K373" t="str">
        <f>_xlfn.XLOOKUP(tblProduction[[#This Row],[Product]],tblProducts[Product],tblProducts[Category],"Not Found")</f>
        <v>Assembly</v>
      </c>
      <c r="L373">
        <f>_xlfn.XLOOKUP(tblProduction[[#This Row],[Product]],tblProducts[Product],tblProducts[Target_Units],"Not Found")</f>
        <v>850</v>
      </c>
    </row>
    <row r="374" spans="1:12" x14ac:dyDescent="0.3">
      <c r="A374" s="1">
        <v>46064</v>
      </c>
      <c r="B374" t="s">
        <v>17</v>
      </c>
      <c r="C374" t="s">
        <v>12</v>
      </c>
      <c r="D374" t="s">
        <v>11</v>
      </c>
      <c r="E374">
        <v>760</v>
      </c>
      <c r="F374">
        <v>26</v>
      </c>
      <c r="G374">
        <v>60</v>
      </c>
      <c r="H374">
        <v>734</v>
      </c>
      <c r="I374">
        <v>3.4210526315789478</v>
      </c>
      <c r="J374">
        <v>96.578947368421055</v>
      </c>
      <c r="K374" t="str">
        <f>_xlfn.XLOOKUP(tblProduction[[#This Row],[Product]],tblProducts[Product],tblProducts[Category],"Not Found")</f>
        <v>Precision</v>
      </c>
      <c r="L374">
        <f>_xlfn.XLOOKUP(tblProduction[[#This Row],[Product]],tblProducts[Product],tblProducts[Target_Units],"Not Found")</f>
        <v>950</v>
      </c>
    </row>
    <row r="375" spans="1:12" x14ac:dyDescent="0.3">
      <c r="A375" s="1">
        <v>46064</v>
      </c>
      <c r="B375" t="s">
        <v>17</v>
      </c>
      <c r="C375" t="s">
        <v>13</v>
      </c>
      <c r="D375" t="s">
        <v>14</v>
      </c>
      <c r="E375">
        <v>641</v>
      </c>
      <c r="F375">
        <v>33</v>
      </c>
      <c r="G375">
        <v>18</v>
      </c>
      <c r="H375">
        <v>608</v>
      </c>
      <c r="I375">
        <v>5.1482059282371297</v>
      </c>
      <c r="J375">
        <v>94.851794071762868</v>
      </c>
      <c r="K375" t="str">
        <f>_xlfn.XLOOKUP(tblProduction[[#This Row],[Product]],tblProducts[Product],tblProducts[Category],"Not Found")</f>
        <v>Assembly</v>
      </c>
      <c r="L375">
        <f>_xlfn.XLOOKUP(tblProduction[[#This Row],[Product]],tblProducts[Product],tblProducts[Target_Units],"Not Found")</f>
        <v>850</v>
      </c>
    </row>
    <row r="376" spans="1:12" x14ac:dyDescent="0.3">
      <c r="A376" s="1">
        <v>46065</v>
      </c>
      <c r="B376" t="s">
        <v>9</v>
      </c>
      <c r="C376" t="s">
        <v>10</v>
      </c>
      <c r="D376" t="s">
        <v>18</v>
      </c>
      <c r="E376">
        <v>885</v>
      </c>
      <c r="F376">
        <v>13</v>
      </c>
      <c r="G376">
        <v>87</v>
      </c>
      <c r="H376">
        <v>872</v>
      </c>
      <c r="I376">
        <v>1.4689265536723159</v>
      </c>
      <c r="J376">
        <v>98.531073446327682</v>
      </c>
      <c r="K376" t="str">
        <f>_xlfn.XLOOKUP(tblProduction[[#This Row],[Product]],tblProducts[Product],tblProducts[Category],"Not Found")</f>
        <v>Assembly</v>
      </c>
      <c r="L376">
        <f>_xlfn.XLOOKUP(tblProduction[[#This Row],[Product]],tblProducts[Product],tblProducts[Target_Units],"Not Found")</f>
        <v>900</v>
      </c>
    </row>
    <row r="377" spans="1:12" x14ac:dyDescent="0.3">
      <c r="A377" s="1">
        <v>46065</v>
      </c>
      <c r="B377" t="s">
        <v>9</v>
      </c>
      <c r="C377" t="s">
        <v>12</v>
      </c>
      <c r="D377" t="s">
        <v>11</v>
      </c>
      <c r="E377">
        <v>896</v>
      </c>
      <c r="F377">
        <v>13</v>
      </c>
      <c r="G377">
        <v>68</v>
      </c>
      <c r="H377">
        <v>883</v>
      </c>
      <c r="I377">
        <v>1.450892857142857</v>
      </c>
      <c r="J377">
        <v>98.549107142857139</v>
      </c>
      <c r="K377" t="str">
        <f>_xlfn.XLOOKUP(tblProduction[[#This Row],[Product]],tblProducts[Product],tblProducts[Category],"Not Found")</f>
        <v>Precision</v>
      </c>
      <c r="L377">
        <f>_xlfn.XLOOKUP(tblProduction[[#This Row],[Product]],tblProducts[Product],tblProducts[Target_Units],"Not Found")</f>
        <v>950</v>
      </c>
    </row>
    <row r="378" spans="1:12" x14ac:dyDescent="0.3">
      <c r="A378" s="1">
        <v>46065</v>
      </c>
      <c r="B378" t="s">
        <v>9</v>
      </c>
      <c r="C378" t="s">
        <v>13</v>
      </c>
      <c r="D378" t="s">
        <v>11</v>
      </c>
      <c r="E378">
        <v>781</v>
      </c>
      <c r="F378">
        <v>19</v>
      </c>
      <c r="G378">
        <v>67</v>
      </c>
      <c r="H378">
        <v>762</v>
      </c>
      <c r="I378">
        <v>2.432778489116517</v>
      </c>
      <c r="J378">
        <v>97.567221510883485</v>
      </c>
      <c r="K378" t="str">
        <f>_xlfn.XLOOKUP(tblProduction[[#This Row],[Product]],tblProducts[Product],tblProducts[Category],"Not Found")</f>
        <v>Precision</v>
      </c>
      <c r="L378">
        <f>_xlfn.XLOOKUP(tblProduction[[#This Row],[Product]],tblProducts[Product],tblProducts[Target_Units],"Not Found")</f>
        <v>950</v>
      </c>
    </row>
    <row r="379" spans="1:12" x14ac:dyDescent="0.3">
      <c r="A379" s="1">
        <v>46065</v>
      </c>
      <c r="B379" t="s">
        <v>15</v>
      </c>
      <c r="C379" t="s">
        <v>10</v>
      </c>
      <c r="D379" t="s">
        <v>14</v>
      </c>
      <c r="E379">
        <v>803</v>
      </c>
      <c r="F379">
        <v>26</v>
      </c>
      <c r="G379">
        <v>21</v>
      </c>
      <c r="H379">
        <v>777</v>
      </c>
      <c r="I379">
        <v>3.2378580323785799</v>
      </c>
      <c r="J379">
        <v>96.762141967621417</v>
      </c>
      <c r="K379" t="str">
        <f>_xlfn.XLOOKUP(tblProduction[[#This Row],[Product]],tblProducts[Product],tblProducts[Category],"Not Found")</f>
        <v>Assembly</v>
      </c>
      <c r="L379">
        <f>_xlfn.XLOOKUP(tblProduction[[#This Row],[Product]],tblProducts[Product],tblProducts[Target_Units],"Not Found")</f>
        <v>850</v>
      </c>
    </row>
    <row r="380" spans="1:12" x14ac:dyDescent="0.3">
      <c r="A380" s="1">
        <v>46065</v>
      </c>
      <c r="B380" t="s">
        <v>15</v>
      </c>
      <c r="C380" t="s">
        <v>12</v>
      </c>
      <c r="D380" t="s">
        <v>16</v>
      </c>
      <c r="E380">
        <v>831</v>
      </c>
      <c r="F380">
        <v>20</v>
      </c>
      <c r="G380">
        <v>81</v>
      </c>
      <c r="H380">
        <v>811</v>
      </c>
      <c r="I380">
        <v>2.4067388688327318</v>
      </c>
      <c r="J380">
        <v>97.593261131167267</v>
      </c>
      <c r="K380" t="str">
        <f>_xlfn.XLOOKUP(tblProduction[[#This Row],[Product]],tblProducts[Product],tblProducts[Category],"Not Found")</f>
        <v>Standard</v>
      </c>
      <c r="L380">
        <f>_xlfn.XLOOKUP(tblProduction[[#This Row],[Product]],tblProducts[Product],tblProducts[Target_Units],"Not Found")</f>
        <v>1000</v>
      </c>
    </row>
    <row r="381" spans="1:12" x14ac:dyDescent="0.3">
      <c r="A381" s="1">
        <v>46065</v>
      </c>
      <c r="B381" t="s">
        <v>15</v>
      </c>
      <c r="C381" t="s">
        <v>13</v>
      </c>
      <c r="D381" t="s">
        <v>11</v>
      </c>
      <c r="E381">
        <v>857</v>
      </c>
      <c r="F381">
        <v>29</v>
      </c>
      <c r="G381">
        <v>3</v>
      </c>
      <c r="H381">
        <v>828</v>
      </c>
      <c r="I381">
        <v>3.38389731621937</v>
      </c>
      <c r="J381">
        <v>96.616102683780625</v>
      </c>
      <c r="K381" t="str">
        <f>_xlfn.XLOOKUP(tblProduction[[#This Row],[Product]],tblProducts[Product],tblProducts[Category],"Not Found")</f>
        <v>Precision</v>
      </c>
      <c r="L381">
        <f>_xlfn.XLOOKUP(tblProduction[[#This Row],[Product]],tblProducts[Product],tblProducts[Target_Units],"Not Found")</f>
        <v>950</v>
      </c>
    </row>
    <row r="382" spans="1:12" x14ac:dyDescent="0.3">
      <c r="A382" s="1">
        <v>46065</v>
      </c>
      <c r="B382" t="s">
        <v>17</v>
      </c>
      <c r="C382" t="s">
        <v>10</v>
      </c>
      <c r="D382" t="s">
        <v>18</v>
      </c>
      <c r="E382">
        <v>836</v>
      </c>
      <c r="F382">
        <v>29</v>
      </c>
      <c r="G382">
        <v>7</v>
      </c>
      <c r="H382">
        <v>807</v>
      </c>
      <c r="I382">
        <v>3.4688995215311</v>
      </c>
      <c r="J382">
        <v>96.5311004784689</v>
      </c>
      <c r="K382" t="str">
        <f>_xlfn.XLOOKUP(tblProduction[[#This Row],[Product]],tblProducts[Product],tblProducts[Category],"Not Found")</f>
        <v>Assembly</v>
      </c>
      <c r="L382">
        <f>_xlfn.XLOOKUP(tblProduction[[#This Row],[Product]],tblProducts[Product],tblProducts[Target_Units],"Not Found")</f>
        <v>900</v>
      </c>
    </row>
    <row r="383" spans="1:12" x14ac:dyDescent="0.3">
      <c r="A383" s="1">
        <v>46065</v>
      </c>
      <c r="B383" t="s">
        <v>17</v>
      </c>
      <c r="C383" t="s">
        <v>12</v>
      </c>
      <c r="D383" t="s">
        <v>11</v>
      </c>
      <c r="E383">
        <v>826</v>
      </c>
      <c r="F383">
        <v>28</v>
      </c>
      <c r="G383">
        <v>1</v>
      </c>
      <c r="H383">
        <v>798</v>
      </c>
      <c r="I383">
        <v>3.3898305084745761</v>
      </c>
      <c r="J383">
        <v>96.610169491525426</v>
      </c>
      <c r="K383" t="str">
        <f>_xlfn.XLOOKUP(tblProduction[[#This Row],[Product]],tblProducts[Product],tblProducts[Category],"Not Found")</f>
        <v>Precision</v>
      </c>
      <c r="L383">
        <f>_xlfn.XLOOKUP(tblProduction[[#This Row],[Product]],tblProducts[Product],tblProducts[Target_Units],"Not Found")</f>
        <v>950</v>
      </c>
    </row>
    <row r="384" spans="1:12" x14ac:dyDescent="0.3">
      <c r="A384" s="1">
        <v>46065</v>
      </c>
      <c r="B384" t="s">
        <v>17</v>
      </c>
      <c r="C384" t="s">
        <v>13</v>
      </c>
      <c r="D384" t="s">
        <v>16</v>
      </c>
      <c r="E384">
        <v>751</v>
      </c>
      <c r="F384">
        <v>33</v>
      </c>
      <c r="G384">
        <v>33</v>
      </c>
      <c r="H384">
        <v>718</v>
      </c>
      <c r="I384">
        <v>4.3941411451398134</v>
      </c>
      <c r="J384">
        <v>95.605858854860188</v>
      </c>
      <c r="K384" t="str">
        <f>_xlfn.XLOOKUP(tblProduction[[#This Row],[Product]],tblProducts[Product],tblProducts[Category],"Not Found")</f>
        <v>Standard</v>
      </c>
      <c r="L384">
        <f>_xlfn.XLOOKUP(tblProduction[[#This Row],[Product]],tblProducts[Product],tblProducts[Target_Units],"Not Found")</f>
        <v>1000</v>
      </c>
    </row>
    <row r="385" spans="1:12" x14ac:dyDescent="0.3">
      <c r="A385" s="1">
        <v>46066</v>
      </c>
      <c r="B385" t="s">
        <v>9</v>
      </c>
      <c r="C385" t="s">
        <v>10</v>
      </c>
      <c r="D385" t="s">
        <v>11</v>
      </c>
      <c r="E385">
        <v>987</v>
      </c>
      <c r="F385">
        <v>14</v>
      </c>
      <c r="G385">
        <v>12</v>
      </c>
      <c r="H385">
        <v>973</v>
      </c>
      <c r="I385">
        <v>1.418439716312057</v>
      </c>
      <c r="J385">
        <v>98.581560283687935</v>
      </c>
      <c r="K385" t="str">
        <f>_xlfn.XLOOKUP(tblProduction[[#This Row],[Product]],tblProducts[Product],tblProducts[Category],"Not Found")</f>
        <v>Precision</v>
      </c>
      <c r="L385">
        <f>_xlfn.XLOOKUP(tblProduction[[#This Row],[Product]],tblProducts[Product],tblProducts[Target_Units],"Not Found")</f>
        <v>950</v>
      </c>
    </row>
    <row r="386" spans="1:12" x14ac:dyDescent="0.3">
      <c r="A386" s="1">
        <v>46066</v>
      </c>
      <c r="B386" t="s">
        <v>9</v>
      </c>
      <c r="C386" t="s">
        <v>12</v>
      </c>
      <c r="D386" t="s">
        <v>18</v>
      </c>
      <c r="E386">
        <v>908</v>
      </c>
      <c r="F386">
        <v>13</v>
      </c>
      <c r="G386">
        <v>5</v>
      </c>
      <c r="H386">
        <v>895</v>
      </c>
      <c r="I386">
        <v>1.4317180616740091</v>
      </c>
      <c r="J386">
        <v>98.568281938325995</v>
      </c>
      <c r="K386" t="str">
        <f>_xlfn.XLOOKUP(tblProduction[[#This Row],[Product]],tblProducts[Product],tblProducts[Category],"Not Found")</f>
        <v>Assembly</v>
      </c>
      <c r="L386">
        <f>_xlfn.XLOOKUP(tblProduction[[#This Row],[Product]],tblProducts[Product],tblProducts[Target_Units],"Not Found")</f>
        <v>900</v>
      </c>
    </row>
    <row r="387" spans="1:12" x14ac:dyDescent="0.3">
      <c r="A387" s="1">
        <v>46066</v>
      </c>
      <c r="B387" t="s">
        <v>9</v>
      </c>
      <c r="C387" t="s">
        <v>13</v>
      </c>
      <c r="D387" t="s">
        <v>14</v>
      </c>
      <c r="E387">
        <v>748</v>
      </c>
      <c r="F387">
        <v>24</v>
      </c>
      <c r="G387">
        <v>38</v>
      </c>
      <c r="H387">
        <v>724</v>
      </c>
      <c r="I387">
        <v>3.2085561497326212</v>
      </c>
      <c r="J387">
        <v>96.791443850267385</v>
      </c>
      <c r="K387" t="str">
        <f>_xlfn.XLOOKUP(tblProduction[[#This Row],[Product]],tblProducts[Product],tblProducts[Category],"Not Found")</f>
        <v>Assembly</v>
      </c>
      <c r="L387">
        <f>_xlfn.XLOOKUP(tblProduction[[#This Row],[Product]],tblProducts[Product],tblProducts[Target_Units],"Not Found")</f>
        <v>850</v>
      </c>
    </row>
    <row r="388" spans="1:12" x14ac:dyDescent="0.3">
      <c r="A388" s="1">
        <v>46066</v>
      </c>
      <c r="B388" t="s">
        <v>15</v>
      </c>
      <c r="C388" t="s">
        <v>10</v>
      </c>
      <c r="D388" t="s">
        <v>18</v>
      </c>
      <c r="E388">
        <v>811</v>
      </c>
      <c r="F388">
        <v>20</v>
      </c>
      <c r="G388">
        <v>37</v>
      </c>
      <c r="H388">
        <v>791</v>
      </c>
      <c r="I388">
        <v>2.466091245376079</v>
      </c>
      <c r="J388">
        <v>97.533908754623923</v>
      </c>
      <c r="K388" t="str">
        <f>_xlfn.XLOOKUP(tblProduction[[#This Row],[Product]],tblProducts[Product],tblProducts[Category],"Not Found")</f>
        <v>Assembly</v>
      </c>
      <c r="L388">
        <f>_xlfn.XLOOKUP(tblProduction[[#This Row],[Product]],tblProducts[Product],tblProducts[Target_Units],"Not Found")</f>
        <v>900</v>
      </c>
    </row>
    <row r="389" spans="1:12" x14ac:dyDescent="0.3">
      <c r="A389" s="1">
        <v>46066</v>
      </c>
      <c r="B389" t="s">
        <v>15</v>
      </c>
      <c r="C389" t="s">
        <v>12</v>
      </c>
      <c r="D389" t="s">
        <v>11</v>
      </c>
      <c r="E389">
        <v>794</v>
      </c>
      <c r="F389">
        <v>19</v>
      </c>
      <c r="G389">
        <v>59</v>
      </c>
      <c r="H389">
        <v>775</v>
      </c>
      <c r="I389">
        <v>2.3929471032745591</v>
      </c>
      <c r="J389">
        <v>97.607052896725449</v>
      </c>
      <c r="K389" t="str">
        <f>_xlfn.XLOOKUP(tblProduction[[#This Row],[Product]],tblProducts[Product],tblProducts[Category],"Not Found")</f>
        <v>Precision</v>
      </c>
      <c r="L389">
        <f>_xlfn.XLOOKUP(tblProduction[[#This Row],[Product]],tblProducts[Product],tblProducts[Target_Units],"Not Found")</f>
        <v>950</v>
      </c>
    </row>
    <row r="390" spans="1:12" x14ac:dyDescent="0.3">
      <c r="A390" s="1">
        <v>46066</v>
      </c>
      <c r="B390" t="s">
        <v>15</v>
      </c>
      <c r="C390" t="s">
        <v>13</v>
      </c>
      <c r="D390" t="s">
        <v>14</v>
      </c>
      <c r="E390">
        <v>755</v>
      </c>
      <c r="F390">
        <v>32</v>
      </c>
      <c r="G390">
        <v>7</v>
      </c>
      <c r="H390">
        <v>723</v>
      </c>
      <c r="I390">
        <v>4.2384105960264904</v>
      </c>
      <c r="J390">
        <v>95.761589403973517</v>
      </c>
      <c r="K390" t="str">
        <f>_xlfn.XLOOKUP(tblProduction[[#This Row],[Product]],tblProducts[Product],tblProducts[Category],"Not Found")</f>
        <v>Assembly</v>
      </c>
      <c r="L390">
        <f>_xlfn.XLOOKUP(tblProduction[[#This Row],[Product]],tblProducts[Product],tblProducts[Target_Units],"Not Found")</f>
        <v>850</v>
      </c>
    </row>
    <row r="391" spans="1:12" x14ac:dyDescent="0.3">
      <c r="A391" s="1">
        <v>46066</v>
      </c>
      <c r="B391" t="s">
        <v>17</v>
      </c>
      <c r="C391" t="s">
        <v>10</v>
      </c>
      <c r="D391" t="s">
        <v>11</v>
      </c>
      <c r="E391">
        <v>830</v>
      </c>
      <c r="F391">
        <v>29</v>
      </c>
      <c r="G391">
        <v>31</v>
      </c>
      <c r="H391">
        <v>801</v>
      </c>
      <c r="I391">
        <v>3.4939759036144582</v>
      </c>
      <c r="J391">
        <v>96.506024096385545</v>
      </c>
      <c r="K391" t="str">
        <f>_xlfn.XLOOKUP(tblProduction[[#This Row],[Product]],tblProducts[Product],tblProducts[Category],"Not Found")</f>
        <v>Precision</v>
      </c>
      <c r="L391">
        <f>_xlfn.XLOOKUP(tblProduction[[#This Row],[Product]],tblProducts[Product],tblProducts[Target_Units],"Not Found")</f>
        <v>950</v>
      </c>
    </row>
    <row r="392" spans="1:12" x14ac:dyDescent="0.3">
      <c r="A392" s="1">
        <v>46066</v>
      </c>
      <c r="B392" t="s">
        <v>17</v>
      </c>
      <c r="C392" t="s">
        <v>12</v>
      </c>
      <c r="D392" t="s">
        <v>11</v>
      </c>
      <c r="E392">
        <v>759</v>
      </c>
      <c r="F392">
        <v>26</v>
      </c>
      <c r="G392">
        <v>22</v>
      </c>
      <c r="H392">
        <v>733</v>
      </c>
      <c r="I392">
        <v>3.4255599472990781</v>
      </c>
      <c r="J392">
        <v>96.574440052700922</v>
      </c>
      <c r="K392" t="str">
        <f>_xlfn.XLOOKUP(tblProduction[[#This Row],[Product]],tblProducts[Product],tblProducts[Category],"Not Found")</f>
        <v>Precision</v>
      </c>
      <c r="L392">
        <f>_xlfn.XLOOKUP(tblProduction[[#This Row],[Product]],tblProducts[Product],tblProducts[Target_Units],"Not Found")</f>
        <v>950</v>
      </c>
    </row>
    <row r="393" spans="1:12" x14ac:dyDescent="0.3">
      <c r="A393" s="1">
        <v>46066</v>
      </c>
      <c r="B393" t="s">
        <v>17</v>
      </c>
      <c r="C393" t="s">
        <v>13</v>
      </c>
      <c r="D393" t="s">
        <v>18</v>
      </c>
      <c r="E393">
        <v>661</v>
      </c>
      <c r="F393">
        <v>29</v>
      </c>
      <c r="G393">
        <v>67</v>
      </c>
      <c r="H393">
        <v>632</v>
      </c>
      <c r="I393">
        <v>4.3872919818456886</v>
      </c>
      <c r="J393">
        <v>95.612708018154308</v>
      </c>
      <c r="K393" t="str">
        <f>_xlfn.XLOOKUP(tblProduction[[#This Row],[Product]],tblProducts[Product],tblProducts[Category],"Not Found")</f>
        <v>Assembly</v>
      </c>
      <c r="L393">
        <f>_xlfn.XLOOKUP(tblProduction[[#This Row],[Product]],tblProducts[Product],tblProducts[Target_Units],"Not Found")</f>
        <v>900</v>
      </c>
    </row>
    <row r="394" spans="1:12" x14ac:dyDescent="0.3">
      <c r="A394" s="1">
        <v>46067</v>
      </c>
      <c r="B394" t="s">
        <v>9</v>
      </c>
      <c r="C394" t="s">
        <v>10</v>
      </c>
      <c r="D394" t="s">
        <v>14</v>
      </c>
      <c r="E394">
        <v>825</v>
      </c>
      <c r="F394">
        <v>18</v>
      </c>
      <c r="G394">
        <v>51</v>
      </c>
      <c r="H394">
        <v>807</v>
      </c>
      <c r="I394">
        <v>2.1818181818181821</v>
      </c>
      <c r="J394">
        <v>97.818181818181813</v>
      </c>
      <c r="K394" t="str">
        <f>_xlfn.XLOOKUP(tblProduction[[#This Row],[Product]],tblProducts[Product],tblProducts[Category],"Not Found")</f>
        <v>Assembly</v>
      </c>
      <c r="L394">
        <f>_xlfn.XLOOKUP(tblProduction[[#This Row],[Product]],tblProducts[Product],tblProducts[Target_Units],"Not Found")</f>
        <v>850</v>
      </c>
    </row>
    <row r="395" spans="1:12" x14ac:dyDescent="0.3">
      <c r="A395" s="1">
        <v>46067</v>
      </c>
      <c r="B395" t="s">
        <v>9</v>
      </c>
      <c r="C395" t="s">
        <v>12</v>
      </c>
      <c r="D395" t="s">
        <v>14</v>
      </c>
      <c r="E395">
        <v>845</v>
      </c>
      <c r="F395">
        <v>19</v>
      </c>
      <c r="G395">
        <v>55</v>
      </c>
      <c r="H395">
        <v>826</v>
      </c>
      <c r="I395">
        <v>2.248520710059172</v>
      </c>
      <c r="J395">
        <v>97.751479289940818</v>
      </c>
      <c r="K395" t="str">
        <f>_xlfn.XLOOKUP(tblProduction[[#This Row],[Product]],tblProducts[Product],tblProducts[Category],"Not Found")</f>
        <v>Assembly</v>
      </c>
      <c r="L395">
        <f>_xlfn.XLOOKUP(tblProduction[[#This Row],[Product]],tblProducts[Product],tblProducts[Target_Units],"Not Found")</f>
        <v>850</v>
      </c>
    </row>
    <row r="396" spans="1:12" x14ac:dyDescent="0.3">
      <c r="A396" s="1">
        <v>46067</v>
      </c>
      <c r="B396" t="s">
        <v>9</v>
      </c>
      <c r="C396" t="s">
        <v>13</v>
      </c>
      <c r="D396" t="s">
        <v>11</v>
      </c>
      <c r="E396">
        <v>880</v>
      </c>
      <c r="F396">
        <v>22</v>
      </c>
      <c r="G396">
        <v>20</v>
      </c>
      <c r="H396">
        <v>858</v>
      </c>
      <c r="I396">
        <v>2.5</v>
      </c>
      <c r="J396">
        <v>97.5</v>
      </c>
      <c r="K396" t="str">
        <f>_xlfn.XLOOKUP(tblProduction[[#This Row],[Product]],tblProducts[Product],tblProducts[Category],"Not Found")</f>
        <v>Precision</v>
      </c>
      <c r="L396">
        <f>_xlfn.XLOOKUP(tblProduction[[#This Row],[Product]],tblProducts[Product],tblProducts[Target_Units],"Not Found")</f>
        <v>950</v>
      </c>
    </row>
    <row r="397" spans="1:12" x14ac:dyDescent="0.3">
      <c r="A397" s="1">
        <v>46067</v>
      </c>
      <c r="B397" t="s">
        <v>15</v>
      </c>
      <c r="C397" t="s">
        <v>10</v>
      </c>
      <c r="D397" t="s">
        <v>18</v>
      </c>
      <c r="E397">
        <v>844</v>
      </c>
      <c r="F397">
        <v>21</v>
      </c>
      <c r="G397">
        <v>42</v>
      </c>
      <c r="H397">
        <v>823</v>
      </c>
      <c r="I397">
        <v>2.488151658767773</v>
      </c>
      <c r="J397">
        <v>97.511848341232238</v>
      </c>
      <c r="K397" t="str">
        <f>_xlfn.XLOOKUP(tblProduction[[#This Row],[Product]],tblProducts[Product],tblProducts[Category],"Not Found")</f>
        <v>Assembly</v>
      </c>
      <c r="L397">
        <f>_xlfn.XLOOKUP(tblProduction[[#This Row],[Product]],tblProducts[Product],tblProducts[Target_Units],"Not Found")</f>
        <v>900</v>
      </c>
    </row>
    <row r="398" spans="1:12" x14ac:dyDescent="0.3">
      <c r="A398" s="1">
        <v>46067</v>
      </c>
      <c r="B398" t="s">
        <v>15</v>
      </c>
      <c r="C398" t="s">
        <v>12</v>
      </c>
      <c r="D398" t="s">
        <v>14</v>
      </c>
      <c r="E398">
        <v>731</v>
      </c>
      <c r="F398">
        <v>24</v>
      </c>
      <c r="G398">
        <v>56</v>
      </c>
      <c r="H398">
        <v>707</v>
      </c>
      <c r="I398">
        <v>3.2831737346101231</v>
      </c>
      <c r="J398">
        <v>96.716826265389884</v>
      </c>
      <c r="K398" t="str">
        <f>_xlfn.XLOOKUP(tblProduction[[#This Row],[Product]],tblProducts[Product],tblProducts[Category],"Not Found")</f>
        <v>Assembly</v>
      </c>
      <c r="L398">
        <f>_xlfn.XLOOKUP(tblProduction[[#This Row],[Product]],tblProducts[Product],tblProducts[Target_Units],"Not Found")</f>
        <v>850</v>
      </c>
    </row>
    <row r="399" spans="1:12" x14ac:dyDescent="0.3">
      <c r="A399" s="1">
        <v>46067</v>
      </c>
      <c r="B399" t="s">
        <v>15</v>
      </c>
      <c r="C399" t="s">
        <v>13</v>
      </c>
      <c r="D399" t="s">
        <v>11</v>
      </c>
      <c r="E399">
        <v>783</v>
      </c>
      <c r="F399">
        <v>27</v>
      </c>
      <c r="G399">
        <v>25</v>
      </c>
      <c r="H399">
        <v>756</v>
      </c>
      <c r="I399">
        <v>3.4482758620689649</v>
      </c>
      <c r="J399">
        <v>96.551724137931032</v>
      </c>
      <c r="K399" t="str">
        <f>_xlfn.XLOOKUP(tblProduction[[#This Row],[Product]],tblProducts[Product],tblProducts[Category],"Not Found")</f>
        <v>Precision</v>
      </c>
      <c r="L399">
        <f>_xlfn.XLOOKUP(tblProduction[[#This Row],[Product]],tblProducts[Product],tblProducts[Target_Units],"Not Found")</f>
        <v>950</v>
      </c>
    </row>
    <row r="400" spans="1:12" x14ac:dyDescent="0.3">
      <c r="A400" s="1">
        <v>46067</v>
      </c>
      <c r="B400" t="s">
        <v>17</v>
      </c>
      <c r="C400" t="s">
        <v>10</v>
      </c>
      <c r="D400" t="s">
        <v>11</v>
      </c>
      <c r="E400">
        <v>795</v>
      </c>
      <c r="F400">
        <v>27</v>
      </c>
      <c r="G400">
        <v>18</v>
      </c>
      <c r="H400">
        <v>768</v>
      </c>
      <c r="I400">
        <v>3.3962264150943402</v>
      </c>
      <c r="J400">
        <v>96.603773584905667</v>
      </c>
      <c r="K400" t="str">
        <f>_xlfn.XLOOKUP(tblProduction[[#This Row],[Product]],tblProducts[Product],tblProducts[Category],"Not Found")</f>
        <v>Precision</v>
      </c>
      <c r="L400">
        <f>_xlfn.XLOOKUP(tblProduction[[#This Row],[Product]],tblProducts[Product],tblProducts[Target_Units],"Not Found")</f>
        <v>950</v>
      </c>
    </row>
    <row r="401" spans="1:12" x14ac:dyDescent="0.3">
      <c r="A401" s="1">
        <v>46067</v>
      </c>
      <c r="B401" t="s">
        <v>17</v>
      </c>
      <c r="C401" t="s">
        <v>12</v>
      </c>
      <c r="D401" t="s">
        <v>16</v>
      </c>
      <c r="E401">
        <v>847</v>
      </c>
      <c r="F401">
        <v>29</v>
      </c>
      <c r="G401">
        <v>26</v>
      </c>
      <c r="H401">
        <v>818</v>
      </c>
      <c r="I401">
        <v>3.4238488783943328</v>
      </c>
      <c r="J401">
        <v>96.576151121605676</v>
      </c>
      <c r="K401" t="str">
        <f>_xlfn.XLOOKUP(tblProduction[[#This Row],[Product]],tblProducts[Product],tblProducts[Category],"Not Found")</f>
        <v>Standard</v>
      </c>
      <c r="L401">
        <f>_xlfn.XLOOKUP(tblProduction[[#This Row],[Product]],tblProducts[Product],tblProducts[Target_Units],"Not Found")</f>
        <v>1000</v>
      </c>
    </row>
    <row r="402" spans="1:12" x14ac:dyDescent="0.3">
      <c r="A402" s="1">
        <v>46067</v>
      </c>
      <c r="B402" t="s">
        <v>17</v>
      </c>
      <c r="C402" t="s">
        <v>13</v>
      </c>
      <c r="D402" t="s">
        <v>14</v>
      </c>
      <c r="E402">
        <v>612</v>
      </c>
      <c r="F402">
        <v>32</v>
      </c>
      <c r="G402">
        <v>33</v>
      </c>
      <c r="H402">
        <v>580</v>
      </c>
      <c r="I402">
        <v>5.2287581699346406</v>
      </c>
      <c r="J402">
        <v>94.77124183006535</v>
      </c>
      <c r="K402" t="str">
        <f>_xlfn.XLOOKUP(tblProduction[[#This Row],[Product]],tblProducts[Product],tblProducts[Category],"Not Found")</f>
        <v>Assembly</v>
      </c>
      <c r="L402">
        <f>_xlfn.XLOOKUP(tblProduction[[#This Row],[Product]],tblProducts[Product],tblProducts[Target_Units],"Not Found")</f>
        <v>850</v>
      </c>
    </row>
    <row r="403" spans="1:12" x14ac:dyDescent="0.3">
      <c r="A403" s="1">
        <v>46068</v>
      </c>
      <c r="B403" t="s">
        <v>9</v>
      </c>
      <c r="C403" t="s">
        <v>10</v>
      </c>
      <c r="D403" t="s">
        <v>14</v>
      </c>
      <c r="E403">
        <v>849</v>
      </c>
      <c r="F403">
        <v>19</v>
      </c>
      <c r="G403">
        <v>65</v>
      </c>
      <c r="H403">
        <v>830</v>
      </c>
      <c r="I403">
        <v>2.237926972909305</v>
      </c>
      <c r="J403">
        <v>97.762073027090693</v>
      </c>
      <c r="K403" t="str">
        <f>_xlfn.XLOOKUP(tblProduction[[#This Row],[Product]],tblProducts[Product],tblProducts[Category],"Not Found")</f>
        <v>Assembly</v>
      </c>
      <c r="L403">
        <f>_xlfn.XLOOKUP(tblProduction[[#This Row],[Product]],tblProducts[Product],tblProducts[Target_Units],"Not Found")</f>
        <v>850</v>
      </c>
    </row>
    <row r="404" spans="1:12" x14ac:dyDescent="0.3">
      <c r="A404" s="1">
        <v>46068</v>
      </c>
      <c r="B404" t="s">
        <v>9</v>
      </c>
      <c r="C404" t="s">
        <v>12</v>
      </c>
      <c r="D404" t="s">
        <v>14</v>
      </c>
      <c r="E404">
        <v>807</v>
      </c>
      <c r="F404">
        <v>18</v>
      </c>
      <c r="G404">
        <v>64</v>
      </c>
      <c r="H404">
        <v>789</v>
      </c>
      <c r="I404">
        <v>2.2304832713754652</v>
      </c>
      <c r="J404">
        <v>97.769516728624538</v>
      </c>
      <c r="K404" t="str">
        <f>_xlfn.XLOOKUP(tblProduction[[#This Row],[Product]],tblProducts[Product],tblProducts[Category],"Not Found")</f>
        <v>Assembly</v>
      </c>
      <c r="L404">
        <f>_xlfn.XLOOKUP(tblProduction[[#This Row],[Product]],tblProducts[Product],tblProducts[Target_Units],"Not Found")</f>
        <v>850</v>
      </c>
    </row>
    <row r="405" spans="1:12" x14ac:dyDescent="0.3">
      <c r="A405" s="1">
        <v>46068</v>
      </c>
      <c r="B405" t="s">
        <v>9</v>
      </c>
      <c r="C405" t="s">
        <v>13</v>
      </c>
      <c r="D405" t="s">
        <v>18</v>
      </c>
      <c r="E405">
        <v>781</v>
      </c>
      <c r="F405">
        <v>19</v>
      </c>
      <c r="G405">
        <v>70</v>
      </c>
      <c r="H405">
        <v>762</v>
      </c>
      <c r="I405">
        <v>2.432778489116517</v>
      </c>
      <c r="J405">
        <v>97.567221510883485</v>
      </c>
      <c r="K405" t="str">
        <f>_xlfn.XLOOKUP(tblProduction[[#This Row],[Product]],tblProducts[Product],tblProducts[Category],"Not Found")</f>
        <v>Assembly</v>
      </c>
      <c r="L405">
        <f>_xlfn.XLOOKUP(tblProduction[[#This Row],[Product]],tblProducts[Product],tblProducts[Target_Units],"Not Found")</f>
        <v>900</v>
      </c>
    </row>
    <row r="406" spans="1:12" x14ac:dyDescent="0.3">
      <c r="A406" s="1">
        <v>46068</v>
      </c>
      <c r="B406" t="s">
        <v>15</v>
      </c>
      <c r="C406" t="s">
        <v>10</v>
      </c>
      <c r="D406" t="s">
        <v>18</v>
      </c>
      <c r="E406">
        <v>840</v>
      </c>
      <c r="F406">
        <v>21</v>
      </c>
      <c r="G406">
        <v>62</v>
      </c>
      <c r="H406">
        <v>819</v>
      </c>
      <c r="I406">
        <v>2.5</v>
      </c>
      <c r="J406">
        <v>97.5</v>
      </c>
      <c r="K406" t="str">
        <f>_xlfn.XLOOKUP(tblProduction[[#This Row],[Product]],tblProducts[Product],tblProducts[Category],"Not Found")</f>
        <v>Assembly</v>
      </c>
      <c r="L406">
        <f>_xlfn.XLOOKUP(tblProduction[[#This Row],[Product]],tblProducts[Product],tblProducts[Target_Units],"Not Found")</f>
        <v>900</v>
      </c>
    </row>
    <row r="407" spans="1:12" x14ac:dyDescent="0.3">
      <c r="A407" s="1">
        <v>46068</v>
      </c>
      <c r="B407" t="s">
        <v>15</v>
      </c>
      <c r="C407" t="s">
        <v>12</v>
      </c>
      <c r="D407" t="s">
        <v>11</v>
      </c>
      <c r="E407">
        <v>791</v>
      </c>
      <c r="F407">
        <v>19</v>
      </c>
      <c r="G407">
        <v>80</v>
      </c>
      <c r="H407">
        <v>772</v>
      </c>
      <c r="I407">
        <v>2.4020227560050569</v>
      </c>
      <c r="J407">
        <v>97.597977243994933</v>
      </c>
      <c r="K407" t="str">
        <f>_xlfn.XLOOKUP(tblProduction[[#This Row],[Product]],tblProducts[Product],tblProducts[Category],"Not Found")</f>
        <v>Precision</v>
      </c>
      <c r="L407">
        <f>_xlfn.XLOOKUP(tblProduction[[#This Row],[Product]],tblProducts[Product],tblProducts[Target_Units],"Not Found")</f>
        <v>950</v>
      </c>
    </row>
    <row r="408" spans="1:12" x14ac:dyDescent="0.3">
      <c r="A408" s="1">
        <v>46068</v>
      </c>
      <c r="B408" t="s">
        <v>15</v>
      </c>
      <c r="C408" t="s">
        <v>13</v>
      </c>
      <c r="D408" t="s">
        <v>11</v>
      </c>
      <c r="E408">
        <v>705</v>
      </c>
      <c r="F408">
        <v>24</v>
      </c>
      <c r="G408">
        <v>90</v>
      </c>
      <c r="H408">
        <v>681</v>
      </c>
      <c r="I408">
        <v>3.4042553191489362</v>
      </c>
      <c r="J408">
        <v>96.595744680851055</v>
      </c>
      <c r="K408" t="str">
        <f>_xlfn.XLOOKUP(tblProduction[[#This Row],[Product]],tblProducts[Product],tblProducts[Category],"Not Found")</f>
        <v>Precision</v>
      </c>
      <c r="L408">
        <f>_xlfn.XLOOKUP(tblProduction[[#This Row],[Product]],tblProducts[Product],tblProducts[Target_Units],"Not Found")</f>
        <v>950</v>
      </c>
    </row>
    <row r="409" spans="1:12" x14ac:dyDescent="0.3">
      <c r="A409" s="1">
        <v>46068</v>
      </c>
      <c r="B409" t="s">
        <v>17</v>
      </c>
      <c r="C409" t="s">
        <v>10</v>
      </c>
      <c r="D409" t="s">
        <v>18</v>
      </c>
      <c r="E409">
        <v>731</v>
      </c>
      <c r="F409">
        <v>25</v>
      </c>
      <c r="G409">
        <v>54</v>
      </c>
      <c r="H409">
        <v>706</v>
      </c>
      <c r="I409">
        <v>3.4199726402188779</v>
      </c>
      <c r="J409">
        <v>96.580027359781113</v>
      </c>
      <c r="K409" t="str">
        <f>_xlfn.XLOOKUP(tblProduction[[#This Row],[Product]],tblProducts[Product],tblProducts[Category],"Not Found")</f>
        <v>Assembly</v>
      </c>
      <c r="L409">
        <f>_xlfn.XLOOKUP(tblProduction[[#This Row],[Product]],tblProducts[Product],tblProducts[Target_Units],"Not Found")</f>
        <v>900</v>
      </c>
    </row>
    <row r="410" spans="1:12" x14ac:dyDescent="0.3">
      <c r="A410" s="1">
        <v>46068</v>
      </c>
      <c r="B410" t="s">
        <v>17</v>
      </c>
      <c r="C410" t="s">
        <v>12</v>
      </c>
      <c r="D410" t="s">
        <v>11</v>
      </c>
      <c r="E410">
        <v>780</v>
      </c>
      <c r="F410">
        <v>27</v>
      </c>
      <c r="G410">
        <v>4</v>
      </c>
      <c r="H410">
        <v>753</v>
      </c>
      <c r="I410">
        <v>3.4615384615384621</v>
      </c>
      <c r="J410">
        <v>96.538461538461533</v>
      </c>
      <c r="K410" t="str">
        <f>_xlfn.XLOOKUP(tblProduction[[#This Row],[Product]],tblProducts[Product],tblProducts[Category],"Not Found")</f>
        <v>Precision</v>
      </c>
      <c r="L410">
        <f>_xlfn.XLOOKUP(tblProduction[[#This Row],[Product]],tblProducts[Product],tblProducts[Target_Units],"Not Found")</f>
        <v>950</v>
      </c>
    </row>
    <row r="411" spans="1:12" x14ac:dyDescent="0.3">
      <c r="A411" s="1">
        <v>46068</v>
      </c>
      <c r="B411" t="s">
        <v>17</v>
      </c>
      <c r="C411" t="s">
        <v>13</v>
      </c>
      <c r="D411" t="s">
        <v>14</v>
      </c>
      <c r="E411">
        <v>589</v>
      </c>
      <c r="F411">
        <v>31</v>
      </c>
      <c r="G411">
        <v>74</v>
      </c>
      <c r="H411">
        <v>558</v>
      </c>
      <c r="I411">
        <v>5.2631578947368416</v>
      </c>
      <c r="J411">
        <v>94.73684210526315</v>
      </c>
      <c r="K411" t="str">
        <f>_xlfn.XLOOKUP(tblProduction[[#This Row],[Product]],tblProducts[Product],tblProducts[Category],"Not Found")</f>
        <v>Assembly</v>
      </c>
      <c r="L411">
        <f>_xlfn.XLOOKUP(tblProduction[[#This Row],[Product]],tblProducts[Product],tblProducts[Target_Units],"Not Found")</f>
        <v>850</v>
      </c>
    </row>
    <row r="412" spans="1:12" x14ac:dyDescent="0.3">
      <c r="A412" s="1">
        <v>46069</v>
      </c>
      <c r="B412" t="s">
        <v>9</v>
      </c>
      <c r="C412" t="s">
        <v>10</v>
      </c>
      <c r="D412" t="s">
        <v>14</v>
      </c>
      <c r="E412">
        <v>807</v>
      </c>
      <c r="F412">
        <v>18</v>
      </c>
      <c r="G412">
        <v>87</v>
      </c>
      <c r="H412">
        <v>789</v>
      </c>
      <c r="I412">
        <v>2.2304832713754652</v>
      </c>
      <c r="J412">
        <v>97.769516728624538</v>
      </c>
      <c r="K412" t="str">
        <f>_xlfn.XLOOKUP(tblProduction[[#This Row],[Product]],tblProducts[Product],tblProducts[Category],"Not Found")</f>
        <v>Assembly</v>
      </c>
      <c r="L412">
        <f>_xlfn.XLOOKUP(tblProduction[[#This Row],[Product]],tblProducts[Product],tblProducts[Target_Units],"Not Found")</f>
        <v>850</v>
      </c>
    </row>
    <row r="413" spans="1:12" x14ac:dyDescent="0.3">
      <c r="A413" s="1">
        <v>46069</v>
      </c>
      <c r="B413" t="s">
        <v>9</v>
      </c>
      <c r="C413" t="s">
        <v>12</v>
      </c>
      <c r="D413" t="s">
        <v>16</v>
      </c>
      <c r="E413">
        <v>1031</v>
      </c>
      <c r="F413">
        <v>15</v>
      </c>
      <c r="G413">
        <v>7</v>
      </c>
      <c r="H413">
        <v>1016</v>
      </c>
      <c r="I413">
        <v>1.4548981571290009</v>
      </c>
      <c r="J413">
        <v>98.545101842870992</v>
      </c>
      <c r="K413" t="str">
        <f>_xlfn.XLOOKUP(tblProduction[[#This Row],[Product]],tblProducts[Product],tblProducts[Category],"Not Found")</f>
        <v>Standard</v>
      </c>
      <c r="L413">
        <f>_xlfn.XLOOKUP(tblProduction[[#This Row],[Product]],tblProducts[Product],tblProducts[Target_Units],"Not Found")</f>
        <v>1000</v>
      </c>
    </row>
    <row r="414" spans="1:12" x14ac:dyDescent="0.3">
      <c r="A414" s="1">
        <v>46069</v>
      </c>
      <c r="B414" t="s">
        <v>9</v>
      </c>
      <c r="C414" t="s">
        <v>13</v>
      </c>
      <c r="D414" t="s">
        <v>14</v>
      </c>
      <c r="E414">
        <v>802</v>
      </c>
      <c r="F414">
        <v>26</v>
      </c>
      <c r="G414">
        <v>29</v>
      </c>
      <c r="H414">
        <v>776</v>
      </c>
      <c r="I414">
        <v>3.2418952618453871</v>
      </c>
      <c r="J414">
        <v>96.758104738154614</v>
      </c>
      <c r="K414" t="str">
        <f>_xlfn.XLOOKUP(tblProduction[[#This Row],[Product]],tblProducts[Product],tblProducts[Category],"Not Found")</f>
        <v>Assembly</v>
      </c>
      <c r="L414">
        <f>_xlfn.XLOOKUP(tblProduction[[#This Row],[Product]],tblProducts[Product],tblProducts[Target_Units],"Not Found")</f>
        <v>850</v>
      </c>
    </row>
    <row r="415" spans="1:12" x14ac:dyDescent="0.3">
      <c r="A415" s="1">
        <v>46069</v>
      </c>
      <c r="B415" t="s">
        <v>15</v>
      </c>
      <c r="C415" t="s">
        <v>10</v>
      </c>
      <c r="D415" t="s">
        <v>11</v>
      </c>
      <c r="E415">
        <v>975</v>
      </c>
      <c r="F415">
        <v>24</v>
      </c>
      <c r="G415">
        <v>11</v>
      </c>
      <c r="H415">
        <v>951</v>
      </c>
      <c r="I415">
        <v>2.4615384615384621</v>
      </c>
      <c r="J415">
        <v>97.538461538461547</v>
      </c>
      <c r="K415" t="str">
        <f>_xlfn.XLOOKUP(tblProduction[[#This Row],[Product]],tblProducts[Product],tblProducts[Category],"Not Found")</f>
        <v>Precision</v>
      </c>
      <c r="L415">
        <f>_xlfn.XLOOKUP(tblProduction[[#This Row],[Product]],tblProducts[Product],tblProducts[Target_Units],"Not Found")</f>
        <v>950</v>
      </c>
    </row>
    <row r="416" spans="1:12" x14ac:dyDescent="0.3">
      <c r="A416" s="1">
        <v>46069</v>
      </c>
      <c r="B416" t="s">
        <v>15</v>
      </c>
      <c r="C416" t="s">
        <v>12</v>
      </c>
      <c r="D416" t="s">
        <v>18</v>
      </c>
      <c r="E416">
        <v>824</v>
      </c>
      <c r="F416">
        <v>20</v>
      </c>
      <c r="G416">
        <v>1</v>
      </c>
      <c r="H416">
        <v>804</v>
      </c>
      <c r="I416">
        <v>2.4271844660194168</v>
      </c>
      <c r="J416">
        <v>97.572815533980588</v>
      </c>
      <c r="K416" t="str">
        <f>_xlfn.XLOOKUP(tblProduction[[#This Row],[Product]],tblProducts[Product],tblProducts[Category],"Not Found")</f>
        <v>Assembly</v>
      </c>
      <c r="L416">
        <f>_xlfn.XLOOKUP(tblProduction[[#This Row],[Product]],tblProducts[Product],tblProducts[Target_Units],"Not Found")</f>
        <v>900</v>
      </c>
    </row>
    <row r="417" spans="1:12" x14ac:dyDescent="0.3">
      <c r="A417" s="1">
        <v>46069</v>
      </c>
      <c r="B417" t="s">
        <v>15</v>
      </c>
      <c r="C417" t="s">
        <v>13</v>
      </c>
      <c r="D417" t="s">
        <v>18</v>
      </c>
      <c r="E417">
        <v>725</v>
      </c>
      <c r="F417">
        <v>25</v>
      </c>
      <c r="G417">
        <v>49</v>
      </c>
      <c r="H417">
        <v>700</v>
      </c>
      <c r="I417">
        <v>3.4482758620689649</v>
      </c>
      <c r="J417">
        <v>96.551724137931032</v>
      </c>
      <c r="K417" t="str">
        <f>_xlfn.XLOOKUP(tblProduction[[#This Row],[Product]],tblProducts[Product],tblProducts[Category],"Not Found")</f>
        <v>Assembly</v>
      </c>
      <c r="L417">
        <f>_xlfn.XLOOKUP(tblProduction[[#This Row],[Product]],tblProducts[Product],tblProducts[Target_Units],"Not Found")</f>
        <v>900</v>
      </c>
    </row>
    <row r="418" spans="1:12" x14ac:dyDescent="0.3">
      <c r="A418" s="1">
        <v>46069</v>
      </c>
      <c r="B418" t="s">
        <v>17</v>
      </c>
      <c r="C418" t="s">
        <v>10</v>
      </c>
      <c r="D418" t="s">
        <v>11</v>
      </c>
      <c r="E418">
        <v>871</v>
      </c>
      <c r="F418">
        <v>30</v>
      </c>
      <c r="G418">
        <v>16</v>
      </c>
      <c r="H418">
        <v>841</v>
      </c>
      <c r="I418">
        <v>3.4443168771526982</v>
      </c>
      <c r="J418">
        <v>96.555683122847299</v>
      </c>
      <c r="K418" t="str">
        <f>_xlfn.XLOOKUP(tblProduction[[#This Row],[Product]],tblProducts[Product],tblProducts[Category],"Not Found")</f>
        <v>Precision</v>
      </c>
      <c r="L418">
        <f>_xlfn.XLOOKUP(tblProduction[[#This Row],[Product]],tblProducts[Product],tblProducts[Target_Units],"Not Found")</f>
        <v>950</v>
      </c>
    </row>
    <row r="419" spans="1:12" x14ac:dyDescent="0.3">
      <c r="A419" s="1">
        <v>46069</v>
      </c>
      <c r="B419" t="s">
        <v>17</v>
      </c>
      <c r="C419" t="s">
        <v>12</v>
      </c>
      <c r="D419" t="s">
        <v>14</v>
      </c>
      <c r="E419">
        <v>656</v>
      </c>
      <c r="F419">
        <v>28</v>
      </c>
      <c r="G419">
        <v>63</v>
      </c>
      <c r="H419">
        <v>628</v>
      </c>
      <c r="I419">
        <v>4.2682926829268304</v>
      </c>
      <c r="J419">
        <v>95.731707317073173</v>
      </c>
      <c r="K419" t="str">
        <f>_xlfn.XLOOKUP(tblProduction[[#This Row],[Product]],tblProducts[Product],tblProducts[Category],"Not Found")</f>
        <v>Assembly</v>
      </c>
      <c r="L419">
        <f>_xlfn.XLOOKUP(tblProduction[[#This Row],[Product]],tblProducts[Product],tblProducts[Target_Units],"Not Found")</f>
        <v>850</v>
      </c>
    </row>
    <row r="420" spans="1:12" x14ac:dyDescent="0.3">
      <c r="A420" s="1">
        <v>46069</v>
      </c>
      <c r="B420" t="s">
        <v>17</v>
      </c>
      <c r="C420" t="s">
        <v>13</v>
      </c>
      <c r="D420" t="s">
        <v>14</v>
      </c>
      <c r="E420">
        <v>592</v>
      </c>
      <c r="F420">
        <v>31</v>
      </c>
      <c r="G420">
        <v>57</v>
      </c>
      <c r="H420">
        <v>561</v>
      </c>
      <c r="I420">
        <v>5.2364864864864868</v>
      </c>
      <c r="J420">
        <v>94.763513513513516</v>
      </c>
      <c r="K420" t="str">
        <f>_xlfn.XLOOKUP(tblProduction[[#This Row],[Product]],tblProducts[Product],tblProducts[Category],"Not Found")</f>
        <v>Assembly</v>
      </c>
      <c r="L420">
        <f>_xlfn.XLOOKUP(tblProduction[[#This Row],[Product]],tblProducts[Product],tblProducts[Target_Units],"Not Found")</f>
        <v>850</v>
      </c>
    </row>
    <row r="421" spans="1:12" x14ac:dyDescent="0.3">
      <c r="A421" s="1">
        <v>46070</v>
      </c>
      <c r="B421" t="s">
        <v>9</v>
      </c>
      <c r="C421" t="s">
        <v>10</v>
      </c>
      <c r="D421" t="s">
        <v>11</v>
      </c>
      <c r="E421">
        <v>929</v>
      </c>
      <c r="F421">
        <v>13</v>
      </c>
      <c r="G421">
        <v>77</v>
      </c>
      <c r="H421">
        <v>916</v>
      </c>
      <c r="I421">
        <v>1.399354144241119</v>
      </c>
      <c r="J421">
        <v>98.600645855758884</v>
      </c>
      <c r="K421" t="str">
        <f>_xlfn.XLOOKUP(tblProduction[[#This Row],[Product]],tblProducts[Product],tblProducts[Category],"Not Found")</f>
        <v>Precision</v>
      </c>
      <c r="L421">
        <f>_xlfn.XLOOKUP(tblProduction[[#This Row],[Product]],tblProducts[Product],tblProducts[Target_Units],"Not Found")</f>
        <v>950</v>
      </c>
    </row>
    <row r="422" spans="1:12" x14ac:dyDescent="0.3">
      <c r="A422" s="1">
        <v>46070</v>
      </c>
      <c r="B422" t="s">
        <v>9</v>
      </c>
      <c r="C422" t="s">
        <v>12</v>
      </c>
      <c r="D422" t="s">
        <v>11</v>
      </c>
      <c r="E422">
        <v>912</v>
      </c>
      <c r="F422">
        <v>13</v>
      </c>
      <c r="G422">
        <v>41</v>
      </c>
      <c r="H422">
        <v>899</v>
      </c>
      <c r="I422">
        <v>1.4254385964912279</v>
      </c>
      <c r="J422">
        <v>98.574561403508781</v>
      </c>
      <c r="K422" t="str">
        <f>_xlfn.XLOOKUP(tblProduction[[#This Row],[Product]],tblProducts[Product],tblProducts[Category],"Not Found")</f>
        <v>Precision</v>
      </c>
      <c r="L422">
        <f>_xlfn.XLOOKUP(tblProduction[[#This Row],[Product]],tblProducts[Product],tblProducts[Target_Units],"Not Found")</f>
        <v>950</v>
      </c>
    </row>
    <row r="423" spans="1:12" x14ac:dyDescent="0.3">
      <c r="A423" s="1">
        <v>46070</v>
      </c>
      <c r="B423" t="s">
        <v>9</v>
      </c>
      <c r="C423" t="s">
        <v>13</v>
      </c>
      <c r="D423" t="s">
        <v>14</v>
      </c>
      <c r="E423">
        <v>730</v>
      </c>
      <c r="F423">
        <v>24</v>
      </c>
      <c r="G423">
        <v>86</v>
      </c>
      <c r="H423">
        <v>706</v>
      </c>
      <c r="I423">
        <v>3.2876712328767121</v>
      </c>
      <c r="J423">
        <v>96.712328767123296</v>
      </c>
      <c r="K423" t="str">
        <f>_xlfn.XLOOKUP(tblProduction[[#This Row],[Product]],tblProducts[Product],tblProducts[Category],"Not Found")</f>
        <v>Assembly</v>
      </c>
      <c r="L423">
        <f>_xlfn.XLOOKUP(tblProduction[[#This Row],[Product]],tblProducts[Product],tblProducts[Target_Units],"Not Found")</f>
        <v>850</v>
      </c>
    </row>
    <row r="424" spans="1:12" x14ac:dyDescent="0.3">
      <c r="A424" s="1">
        <v>46070</v>
      </c>
      <c r="B424" t="s">
        <v>15</v>
      </c>
      <c r="C424" t="s">
        <v>10</v>
      </c>
      <c r="D424" t="s">
        <v>18</v>
      </c>
      <c r="E424">
        <v>787</v>
      </c>
      <c r="F424">
        <v>19</v>
      </c>
      <c r="G424">
        <v>70</v>
      </c>
      <c r="H424">
        <v>768</v>
      </c>
      <c r="I424">
        <v>2.4142312579415499</v>
      </c>
      <c r="J424">
        <v>97.585768742058448</v>
      </c>
      <c r="K424" t="str">
        <f>_xlfn.XLOOKUP(tblProduction[[#This Row],[Product]],tblProducts[Product],tblProducts[Category],"Not Found")</f>
        <v>Assembly</v>
      </c>
      <c r="L424">
        <f>_xlfn.XLOOKUP(tblProduction[[#This Row],[Product]],tblProducts[Product],tblProducts[Target_Units],"Not Found")</f>
        <v>900</v>
      </c>
    </row>
    <row r="425" spans="1:12" x14ac:dyDescent="0.3">
      <c r="A425" s="1">
        <v>46070</v>
      </c>
      <c r="B425" t="s">
        <v>15</v>
      </c>
      <c r="C425" t="s">
        <v>12</v>
      </c>
      <c r="D425" t="s">
        <v>16</v>
      </c>
      <c r="E425">
        <v>788</v>
      </c>
      <c r="F425">
        <v>19</v>
      </c>
      <c r="G425">
        <v>90</v>
      </c>
      <c r="H425">
        <v>769</v>
      </c>
      <c r="I425">
        <v>2.4111675126903549</v>
      </c>
      <c r="J425">
        <v>97.588832487309645</v>
      </c>
      <c r="K425" t="str">
        <f>_xlfn.XLOOKUP(tblProduction[[#This Row],[Product]],tblProducts[Product],tblProducts[Category],"Not Found")</f>
        <v>Standard</v>
      </c>
      <c r="L425">
        <f>_xlfn.XLOOKUP(tblProduction[[#This Row],[Product]],tblProducts[Product],tblProducts[Target_Units],"Not Found")</f>
        <v>1000</v>
      </c>
    </row>
    <row r="426" spans="1:12" x14ac:dyDescent="0.3">
      <c r="A426" s="1">
        <v>46070</v>
      </c>
      <c r="B426" t="s">
        <v>17</v>
      </c>
      <c r="C426" t="s">
        <v>10</v>
      </c>
      <c r="D426" t="s">
        <v>18</v>
      </c>
      <c r="E426">
        <v>791</v>
      </c>
      <c r="F426">
        <v>27</v>
      </c>
      <c r="G426">
        <v>19</v>
      </c>
      <c r="H426">
        <v>764</v>
      </c>
      <c r="I426">
        <v>3.413400758533502</v>
      </c>
      <c r="J426">
        <v>96.586599241466502</v>
      </c>
      <c r="K426" t="str">
        <f>_xlfn.XLOOKUP(tblProduction[[#This Row],[Product]],tblProducts[Product],tblProducts[Category],"Not Found")</f>
        <v>Assembly</v>
      </c>
      <c r="L426">
        <f>_xlfn.XLOOKUP(tblProduction[[#This Row],[Product]],tblProducts[Product],tblProducts[Target_Units],"Not Found")</f>
        <v>900</v>
      </c>
    </row>
    <row r="427" spans="1:12" x14ac:dyDescent="0.3">
      <c r="A427" s="1">
        <v>46070</v>
      </c>
      <c r="B427" t="s">
        <v>17</v>
      </c>
      <c r="C427" t="s">
        <v>12</v>
      </c>
      <c r="D427" t="s">
        <v>14</v>
      </c>
      <c r="E427">
        <v>744</v>
      </c>
      <c r="F427">
        <v>31</v>
      </c>
      <c r="G427">
        <v>9</v>
      </c>
      <c r="H427">
        <v>713</v>
      </c>
      <c r="I427">
        <v>4.1666666666666661</v>
      </c>
      <c r="J427">
        <v>95.833333333333343</v>
      </c>
      <c r="K427" t="str">
        <f>_xlfn.XLOOKUP(tblProduction[[#This Row],[Product]],tblProducts[Product],tblProducts[Category],"Not Found")</f>
        <v>Assembly</v>
      </c>
      <c r="L427">
        <f>_xlfn.XLOOKUP(tblProduction[[#This Row],[Product]],tblProducts[Product],tblProducts[Target_Units],"Not Found")</f>
        <v>850</v>
      </c>
    </row>
    <row r="428" spans="1:12" x14ac:dyDescent="0.3">
      <c r="A428" s="1">
        <v>46070</v>
      </c>
      <c r="B428" t="s">
        <v>17</v>
      </c>
      <c r="C428" t="s">
        <v>13</v>
      </c>
      <c r="D428" t="s">
        <v>18</v>
      </c>
      <c r="E428">
        <v>620</v>
      </c>
      <c r="F428">
        <v>27</v>
      </c>
      <c r="G428">
        <v>81</v>
      </c>
      <c r="H428">
        <v>593</v>
      </c>
      <c r="I428">
        <v>4.354838709677419</v>
      </c>
      <c r="J428">
        <v>95.645161290322577</v>
      </c>
      <c r="K428" t="str">
        <f>_xlfn.XLOOKUP(tblProduction[[#This Row],[Product]],tblProducts[Product],tblProducts[Category],"Not Found")</f>
        <v>Assembly</v>
      </c>
      <c r="L428">
        <f>_xlfn.XLOOKUP(tblProduction[[#This Row],[Product]],tblProducts[Product],tblProducts[Target_Units],"Not Found")</f>
        <v>900</v>
      </c>
    </row>
    <row r="429" spans="1:12" x14ac:dyDescent="0.3">
      <c r="A429" s="1">
        <v>46071</v>
      </c>
      <c r="B429" t="s">
        <v>9</v>
      </c>
      <c r="C429" t="s">
        <v>10</v>
      </c>
      <c r="D429" t="s">
        <v>18</v>
      </c>
      <c r="E429">
        <v>877</v>
      </c>
      <c r="F429">
        <v>13</v>
      </c>
      <c r="G429">
        <v>52</v>
      </c>
      <c r="H429">
        <v>864</v>
      </c>
      <c r="I429">
        <v>1.4823261117445841</v>
      </c>
      <c r="J429">
        <v>98.517673888255416</v>
      </c>
      <c r="K429" t="str">
        <f>_xlfn.XLOOKUP(tblProduction[[#This Row],[Product]],tblProducts[Product],tblProducts[Category],"Not Found")</f>
        <v>Assembly</v>
      </c>
      <c r="L429">
        <f>_xlfn.XLOOKUP(tblProduction[[#This Row],[Product]],tblProducts[Product],tblProducts[Target_Units],"Not Found")</f>
        <v>900</v>
      </c>
    </row>
    <row r="430" spans="1:12" x14ac:dyDescent="0.3">
      <c r="A430" s="1">
        <v>46071</v>
      </c>
      <c r="B430" t="s">
        <v>9</v>
      </c>
      <c r="C430" t="s">
        <v>12</v>
      </c>
      <c r="D430" t="s">
        <v>11</v>
      </c>
      <c r="E430">
        <v>878</v>
      </c>
      <c r="F430">
        <v>13</v>
      </c>
      <c r="G430">
        <v>43</v>
      </c>
      <c r="H430">
        <v>865</v>
      </c>
      <c r="I430">
        <v>1.480637813211845</v>
      </c>
      <c r="J430">
        <v>98.519362186788157</v>
      </c>
      <c r="K430" t="str">
        <f>_xlfn.XLOOKUP(tblProduction[[#This Row],[Product]],tblProducts[Product],tblProducts[Category],"Not Found")</f>
        <v>Precision</v>
      </c>
      <c r="L430">
        <f>_xlfn.XLOOKUP(tblProduction[[#This Row],[Product]],tblProducts[Product],tblProducts[Target_Units],"Not Found")</f>
        <v>950</v>
      </c>
    </row>
    <row r="431" spans="1:12" x14ac:dyDescent="0.3">
      <c r="A431" s="1">
        <v>46071</v>
      </c>
      <c r="B431" t="s">
        <v>9</v>
      </c>
      <c r="C431" t="s">
        <v>13</v>
      </c>
      <c r="D431" t="s">
        <v>16</v>
      </c>
      <c r="E431">
        <v>945</v>
      </c>
      <c r="F431">
        <v>23</v>
      </c>
      <c r="G431">
        <v>8</v>
      </c>
      <c r="H431">
        <v>922</v>
      </c>
      <c r="I431">
        <v>2.4338624338624339</v>
      </c>
      <c r="J431">
        <v>97.56613756613757</v>
      </c>
      <c r="K431" t="str">
        <f>_xlfn.XLOOKUP(tblProduction[[#This Row],[Product]],tblProducts[Product],tblProducts[Category],"Not Found")</f>
        <v>Standard</v>
      </c>
      <c r="L431">
        <f>_xlfn.XLOOKUP(tblProduction[[#This Row],[Product]],tblProducts[Product],tblProducts[Target_Units],"Not Found")</f>
        <v>1000</v>
      </c>
    </row>
    <row r="432" spans="1:12" x14ac:dyDescent="0.3">
      <c r="A432" s="1">
        <v>46071</v>
      </c>
      <c r="B432" t="s">
        <v>15</v>
      </c>
      <c r="C432" t="s">
        <v>10</v>
      </c>
      <c r="D432" t="s">
        <v>14</v>
      </c>
      <c r="E432">
        <v>830</v>
      </c>
      <c r="F432">
        <v>27</v>
      </c>
      <c r="G432">
        <v>4</v>
      </c>
      <c r="H432">
        <v>803</v>
      </c>
      <c r="I432">
        <v>3.2530120481927711</v>
      </c>
      <c r="J432">
        <v>96.746987951807228</v>
      </c>
      <c r="K432" t="str">
        <f>_xlfn.XLOOKUP(tblProduction[[#This Row],[Product]],tblProducts[Product],tblProducts[Category],"Not Found")</f>
        <v>Assembly</v>
      </c>
      <c r="L432">
        <f>_xlfn.XLOOKUP(tblProduction[[#This Row],[Product]],tblProducts[Product],tblProducts[Target_Units],"Not Found")</f>
        <v>850</v>
      </c>
    </row>
    <row r="433" spans="1:12" x14ac:dyDescent="0.3">
      <c r="A433" s="1">
        <v>46071</v>
      </c>
      <c r="B433" t="s">
        <v>15</v>
      </c>
      <c r="C433" t="s">
        <v>12</v>
      </c>
      <c r="D433" t="s">
        <v>14</v>
      </c>
      <c r="E433">
        <v>794</v>
      </c>
      <c r="F433">
        <v>26</v>
      </c>
      <c r="G433">
        <v>7</v>
      </c>
      <c r="H433">
        <v>768</v>
      </c>
      <c r="I433">
        <v>3.2745591939546599</v>
      </c>
      <c r="J433">
        <v>96.725440806045341</v>
      </c>
      <c r="K433" t="str">
        <f>_xlfn.XLOOKUP(tblProduction[[#This Row],[Product]],tblProducts[Product],tblProducts[Category],"Not Found")</f>
        <v>Assembly</v>
      </c>
      <c r="L433">
        <f>_xlfn.XLOOKUP(tblProduction[[#This Row],[Product]],tblProducts[Product],tblProducts[Target_Units],"Not Found")</f>
        <v>850</v>
      </c>
    </row>
    <row r="434" spans="1:12" x14ac:dyDescent="0.3">
      <c r="A434" s="1">
        <v>46071</v>
      </c>
      <c r="B434" t="s">
        <v>15</v>
      </c>
      <c r="C434" t="s">
        <v>13</v>
      </c>
      <c r="D434" t="s">
        <v>18</v>
      </c>
      <c r="E434">
        <v>701</v>
      </c>
      <c r="F434">
        <v>24</v>
      </c>
      <c r="G434">
        <v>82</v>
      </c>
      <c r="H434">
        <v>677</v>
      </c>
      <c r="I434">
        <v>3.4236804564907271</v>
      </c>
      <c r="J434">
        <v>96.576319543509271</v>
      </c>
      <c r="K434" t="str">
        <f>_xlfn.XLOOKUP(tblProduction[[#This Row],[Product]],tblProducts[Product],tblProducts[Category],"Not Found")</f>
        <v>Assembly</v>
      </c>
      <c r="L434">
        <f>_xlfn.XLOOKUP(tblProduction[[#This Row],[Product]],tblProducts[Product],tblProducts[Target_Units],"Not Found")</f>
        <v>900</v>
      </c>
    </row>
    <row r="435" spans="1:12" x14ac:dyDescent="0.3">
      <c r="A435" s="1">
        <v>46071</v>
      </c>
      <c r="B435" t="s">
        <v>17</v>
      </c>
      <c r="C435" t="s">
        <v>10</v>
      </c>
      <c r="D435" t="s">
        <v>11</v>
      </c>
      <c r="E435">
        <v>852</v>
      </c>
      <c r="F435">
        <v>29</v>
      </c>
      <c r="G435">
        <v>12</v>
      </c>
      <c r="H435">
        <v>823</v>
      </c>
      <c r="I435">
        <v>3.403755868544601</v>
      </c>
      <c r="J435">
        <v>96.596244131455393</v>
      </c>
      <c r="K435" t="str">
        <f>_xlfn.XLOOKUP(tblProduction[[#This Row],[Product]],tblProducts[Product],tblProducts[Category],"Not Found")</f>
        <v>Precision</v>
      </c>
      <c r="L435">
        <f>_xlfn.XLOOKUP(tblProduction[[#This Row],[Product]],tblProducts[Product],tblProducts[Target_Units],"Not Found")</f>
        <v>950</v>
      </c>
    </row>
    <row r="436" spans="1:12" x14ac:dyDescent="0.3">
      <c r="A436" s="1">
        <v>46071</v>
      </c>
      <c r="B436" t="s">
        <v>17</v>
      </c>
      <c r="C436" t="s">
        <v>12</v>
      </c>
      <c r="D436" t="s">
        <v>11</v>
      </c>
      <c r="E436">
        <v>788</v>
      </c>
      <c r="F436">
        <v>27</v>
      </c>
      <c r="G436">
        <v>38</v>
      </c>
      <c r="H436">
        <v>761</v>
      </c>
      <c r="I436">
        <v>3.4263959390862939</v>
      </c>
      <c r="J436">
        <v>96.573604060913709</v>
      </c>
      <c r="K436" t="str">
        <f>_xlfn.XLOOKUP(tblProduction[[#This Row],[Product]],tblProducts[Product],tblProducts[Category],"Not Found")</f>
        <v>Precision</v>
      </c>
      <c r="L436">
        <f>_xlfn.XLOOKUP(tblProduction[[#This Row],[Product]],tblProducts[Product],tblProducts[Target_Units],"Not Found")</f>
        <v>950</v>
      </c>
    </row>
    <row r="437" spans="1:12" x14ac:dyDescent="0.3">
      <c r="A437" s="1">
        <v>46071</v>
      </c>
      <c r="B437" t="s">
        <v>17</v>
      </c>
      <c r="C437" t="s">
        <v>13</v>
      </c>
      <c r="D437" t="s">
        <v>14</v>
      </c>
      <c r="E437">
        <v>561</v>
      </c>
      <c r="F437">
        <v>29</v>
      </c>
      <c r="G437">
        <v>86</v>
      </c>
      <c r="H437">
        <v>532</v>
      </c>
      <c r="I437">
        <v>5.169340463458111</v>
      </c>
      <c r="J437">
        <v>94.830659536541901</v>
      </c>
      <c r="K437" t="str">
        <f>_xlfn.XLOOKUP(tblProduction[[#This Row],[Product]],tblProducts[Product],tblProducts[Category],"Not Found")</f>
        <v>Assembly</v>
      </c>
      <c r="L437">
        <f>_xlfn.XLOOKUP(tblProduction[[#This Row],[Product]],tblProducts[Product],tblProducts[Target_Units],"Not Found")</f>
        <v>850</v>
      </c>
    </row>
    <row r="438" spans="1:12" x14ac:dyDescent="0.3">
      <c r="A438" s="1">
        <v>46072</v>
      </c>
      <c r="B438" t="s">
        <v>9</v>
      </c>
      <c r="C438" t="s">
        <v>10</v>
      </c>
      <c r="D438" t="s">
        <v>16</v>
      </c>
      <c r="E438">
        <v>1125</v>
      </c>
      <c r="F438">
        <v>16</v>
      </c>
      <c r="G438">
        <v>14</v>
      </c>
      <c r="H438">
        <v>1109</v>
      </c>
      <c r="I438">
        <v>1.4222222222222221</v>
      </c>
      <c r="J438">
        <v>98.577777777777769</v>
      </c>
      <c r="K438" t="str">
        <f>_xlfn.XLOOKUP(tblProduction[[#This Row],[Product]],tblProducts[Product],tblProducts[Category],"Not Found")</f>
        <v>Standard</v>
      </c>
      <c r="L438">
        <f>_xlfn.XLOOKUP(tblProduction[[#This Row],[Product]],tblProducts[Product],tblProducts[Target_Units],"Not Found")</f>
        <v>1000</v>
      </c>
    </row>
    <row r="439" spans="1:12" x14ac:dyDescent="0.3">
      <c r="A439" s="1">
        <v>46072</v>
      </c>
      <c r="B439" t="s">
        <v>9</v>
      </c>
      <c r="C439" t="s">
        <v>12</v>
      </c>
      <c r="D439" t="s">
        <v>11</v>
      </c>
      <c r="E439">
        <v>859</v>
      </c>
      <c r="F439">
        <v>12</v>
      </c>
      <c r="G439">
        <v>66</v>
      </c>
      <c r="H439">
        <v>847</v>
      </c>
      <c r="I439">
        <v>1.3969732246798601</v>
      </c>
      <c r="J439">
        <v>98.603026775320131</v>
      </c>
      <c r="K439" t="str">
        <f>_xlfn.XLOOKUP(tblProduction[[#This Row],[Product]],tblProducts[Product],tblProducts[Category],"Not Found")</f>
        <v>Precision</v>
      </c>
      <c r="L439">
        <f>_xlfn.XLOOKUP(tblProduction[[#This Row],[Product]],tblProducts[Product],tblProducts[Target_Units],"Not Found")</f>
        <v>950</v>
      </c>
    </row>
    <row r="440" spans="1:12" x14ac:dyDescent="0.3">
      <c r="A440" s="1">
        <v>46072</v>
      </c>
      <c r="B440" t="s">
        <v>9</v>
      </c>
      <c r="C440" t="s">
        <v>13</v>
      </c>
      <c r="D440" t="s">
        <v>11</v>
      </c>
      <c r="E440">
        <v>834</v>
      </c>
      <c r="F440">
        <v>20</v>
      </c>
      <c r="G440">
        <v>74</v>
      </c>
      <c r="H440">
        <v>814</v>
      </c>
      <c r="I440">
        <v>2.398081534772182</v>
      </c>
      <c r="J440">
        <v>97.601918465227826</v>
      </c>
      <c r="K440" t="str">
        <f>_xlfn.XLOOKUP(tblProduction[[#This Row],[Product]],tblProducts[Product],tblProducts[Category],"Not Found")</f>
        <v>Precision</v>
      </c>
      <c r="L440">
        <f>_xlfn.XLOOKUP(tblProduction[[#This Row],[Product]],tblProducts[Product],tblProducts[Target_Units],"Not Found")</f>
        <v>950</v>
      </c>
    </row>
    <row r="441" spans="1:12" x14ac:dyDescent="0.3">
      <c r="A441" s="1">
        <v>46072</v>
      </c>
      <c r="B441" t="s">
        <v>15</v>
      </c>
      <c r="C441" t="s">
        <v>10</v>
      </c>
      <c r="D441" t="s">
        <v>14</v>
      </c>
      <c r="E441">
        <v>744</v>
      </c>
      <c r="F441">
        <v>24</v>
      </c>
      <c r="G441">
        <v>47</v>
      </c>
      <c r="H441">
        <v>720</v>
      </c>
      <c r="I441">
        <v>3.225806451612903</v>
      </c>
      <c r="J441">
        <v>96.774193548387103</v>
      </c>
      <c r="K441" t="str">
        <f>_xlfn.XLOOKUP(tblProduction[[#This Row],[Product]],tblProducts[Product],tblProducts[Category],"Not Found")</f>
        <v>Assembly</v>
      </c>
      <c r="L441">
        <f>_xlfn.XLOOKUP(tblProduction[[#This Row],[Product]],tblProducts[Product],tblProducts[Target_Units],"Not Found")</f>
        <v>850</v>
      </c>
    </row>
    <row r="442" spans="1:12" x14ac:dyDescent="0.3">
      <c r="A442" s="1">
        <v>46072</v>
      </c>
      <c r="B442" t="s">
        <v>15</v>
      </c>
      <c r="C442" t="s">
        <v>12</v>
      </c>
      <c r="D442" t="s">
        <v>18</v>
      </c>
      <c r="E442">
        <v>821</v>
      </c>
      <c r="F442">
        <v>20</v>
      </c>
      <c r="G442">
        <v>45</v>
      </c>
      <c r="H442">
        <v>801</v>
      </c>
      <c r="I442">
        <v>2.4360535931790501</v>
      </c>
      <c r="J442">
        <v>97.563946406820946</v>
      </c>
      <c r="K442" t="str">
        <f>_xlfn.XLOOKUP(tblProduction[[#This Row],[Product]],tblProducts[Product],tblProducts[Category],"Not Found")</f>
        <v>Assembly</v>
      </c>
      <c r="L442">
        <f>_xlfn.XLOOKUP(tblProduction[[#This Row],[Product]],tblProducts[Product],tblProducts[Target_Units],"Not Found")</f>
        <v>900</v>
      </c>
    </row>
    <row r="443" spans="1:12" x14ac:dyDescent="0.3">
      <c r="A443" s="1">
        <v>46072</v>
      </c>
      <c r="B443" t="s">
        <v>15</v>
      </c>
      <c r="C443" t="s">
        <v>13</v>
      </c>
      <c r="D443" t="s">
        <v>16</v>
      </c>
      <c r="E443">
        <v>773</v>
      </c>
      <c r="F443">
        <v>27</v>
      </c>
      <c r="G443">
        <v>54</v>
      </c>
      <c r="H443">
        <v>746</v>
      </c>
      <c r="I443">
        <v>3.492884864165589</v>
      </c>
      <c r="J443">
        <v>96.507115135834411</v>
      </c>
      <c r="K443" t="str">
        <f>_xlfn.XLOOKUP(tblProduction[[#This Row],[Product]],tblProducts[Product],tblProducts[Category],"Not Found")</f>
        <v>Standard</v>
      </c>
      <c r="L443">
        <f>_xlfn.XLOOKUP(tblProduction[[#This Row],[Product]],tblProducts[Product],tblProducts[Target_Units],"Not Found")</f>
        <v>1000</v>
      </c>
    </row>
    <row r="444" spans="1:12" x14ac:dyDescent="0.3">
      <c r="A444" s="1">
        <v>46072</v>
      </c>
      <c r="B444" t="s">
        <v>17</v>
      </c>
      <c r="C444" t="s">
        <v>10</v>
      </c>
      <c r="D444" t="s">
        <v>11</v>
      </c>
      <c r="E444">
        <v>766</v>
      </c>
      <c r="F444">
        <v>26</v>
      </c>
      <c r="G444">
        <v>66</v>
      </c>
      <c r="H444">
        <v>740</v>
      </c>
      <c r="I444">
        <v>3.3942558746736302</v>
      </c>
      <c r="J444">
        <v>96.605744125326382</v>
      </c>
      <c r="K444" t="str">
        <f>_xlfn.XLOOKUP(tblProduction[[#This Row],[Product]],tblProducts[Product],tblProducts[Category],"Not Found")</f>
        <v>Precision</v>
      </c>
      <c r="L444">
        <f>_xlfn.XLOOKUP(tblProduction[[#This Row],[Product]],tblProducts[Product],tblProducts[Target_Units],"Not Found")</f>
        <v>950</v>
      </c>
    </row>
    <row r="445" spans="1:12" x14ac:dyDescent="0.3">
      <c r="A445" s="1">
        <v>46072</v>
      </c>
      <c r="B445" t="s">
        <v>17</v>
      </c>
      <c r="C445" t="s">
        <v>12</v>
      </c>
      <c r="D445" t="s">
        <v>14</v>
      </c>
      <c r="E445">
        <v>604</v>
      </c>
      <c r="F445">
        <v>25</v>
      </c>
      <c r="G445">
        <v>89</v>
      </c>
      <c r="H445">
        <v>579</v>
      </c>
      <c r="I445">
        <v>4.1390728476821197</v>
      </c>
      <c r="J445">
        <v>95.860927152317871</v>
      </c>
      <c r="K445" t="str">
        <f>_xlfn.XLOOKUP(tblProduction[[#This Row],[Product]],tblProducts[Product],tblProducts[Category],"Not Found")</f>
        <v>Assembly</v>
      </c>
      <c r="L445">
        <f>_xlfn.XLOOKUP(tblProduction[[#This Row],[Product]],tblProducts[Product],tblProducts[Target_Units],"Not Found")</f>
        <v>850</v>
      </c>
    </row>
    <row r="446" spans="1:12" x14ac:dyDescent="0.3">
      <c r="A446" s="1">
        <v>46072</v>
      </c>
      <c r="B446" t="s">
        <v>17</v>
      </c>
      <c r="C446" t="s">
        <v>13</v>
      </c>
      <c r="D446" t="s">
        <v>18</v>
      </c>
      <c r="E446">
        <v>621</v>
      </c>
      <c r="F446">
        <v>27</v>
      </c>
      <c r="G446">
        <v>51</v>
      </c>
      <c r="H446">
        <v>594</v>
      </c>
      <c r="I446">
        <v>4.3478260869565224</v>
      </c>
      <c r="J446">
        <v>95.652173913043484</v>
      </c>
      <c r="K446" t="str">
        <f>_xlfn.XLOOKUP(tblProduction[[#This Row],[Product]],tblProducts[Product],tblProducts[Category],"Not Found")</f>
        <v>Assembly</v>
      </c>
      <c r="L446">
        <f>_xlfn.XLOOKUP(tblProduction[[#This Row],[Product]],tblProducts[Product],tblProducts[Target_Units],"Not Found")</f>
        <v>900</v>
      </c>
    </row>
    <row r="447" spans="1:12" x14ac:dyDescent="0.3">
      <c r="A447" s="1">
        <v>46073</v>
      </c>
      <c r="B447" t="s">
        <v>9</v>
      </c>
      <c r="C447" t="s">
        <v>10</v>
      </c>
      <c r="D447" t="s">
        <v>14</v>
      </c>
      <c r="E447">
        <v>876</v>
      </c>
      <c r="F447">
        <v>20</v>
      </c>
      <c r="G447">
        <v>29</v>
      </c>
      <c r="H447">
        <v>856</v>
      </c>
      <c r="I447">
        <v>2.2831050228310499</v>
      </c>
      <c r="J447">
        <v>97.716894977168948</v>
      </c>
      <c r="K447" t="str">
        <f>_xlfn.XLOOKUP(tblProduction[[#This Row],[Product]],tblProducts[Product],tblProducts[Category],"Not Found")</f>
        <v>Assembly</v>
      </c>
      <c r="L447">
        <f>_xlfn.XLOOKUP(tblProduction[[#This Row],[Product]],tblProducts[Product],tblProducts[Target_Units],"Not Found")</f>
        <v>850</v>
      </c>
    </row>
    <row r="448" spans="1:12" x14ac:dyDescent="0.3">
      <c r="A448" s="1">
        <v>46073</v>
      </c>
      <c r="B448" t="s">
        <v>9</v>
      </c>
      <c r="C448" t="s">
        <v>12</v>
      </c>
      <c r="D448" t="s">
        <v>11</v>
      </c>
      <c r="E448">
        <v>913</v>
      </c>
      <c r="F448">
        <v>13</v>
      </c>
      <c r="G448">
        <v>44</v>
      </c>
      <c r="H448">
        <v>900</v>
      </c>
      <c r="I448">
        <v>1.4238773274917851</v>
      </c>
      <c r="J448">
        <v>98.57612267250822</v>
      </c>
      <c r="K448" t="str">
        <f>_xlfn.XLOOKUP(tblProduction[[#This Row],[Product]],tblProducts[Product],tblProducts[Category],"Not Found")</f>
        <v>Precision</v>
      </c>
      <c r="L448">
        <f>_xlfn.XLOOKUP(tblProduction[[#This Row],[Product]],tblProducts[Product],tblProducts[Target_Units],"Not Found")</f>
        <v>950</v>
      </c>
    </row>
    <row r="449" spans="1:12" x14ac:dyDescent="0.3">
      <c r="A449" s="1">
        <v>46073</v>
      </c>
      <c r="B449" t="s">
        <v>9</v>
      </c>
      <c r="C449" t="s">
        <v>13</v>
      </c>
      <c r="D449" t="s">
        <v>11</v>
      </c>
      <c r="E449">
        <v>881</v>
      </c>
      <c r="F449">
        <v>22</v>
      </c>
      <c r="G449">
        <v>25</v>
      </c>
      <c r="H449">
        <v>859</v>
      </c>
      <c r="I449">
        <v>2.49716231555051</v>
      </c>
      <c r="J449">
        <v>97.502837684449489</v>
      </c>
      <c r="K449" t="str">
        <f>_xlfn.XLOOKUP(tblProduction[[#This Row],[Product]],tblProducts[Product],tblProducts[Category],"Not Found")</f>
        <v>Precision</v>
      </c>
      <c r="L449">
        <f>_xlfn.XLOOKUP(tblProduction[[#This Row],[Product]],tblProducts[Product],tblProducts[Target_Units],"Not Found")</f>
        <v>950</v>
      </c>
    </row>
    <row r="450" spans="1:12" x14ac:dyDescent="0.3">
      <c r="A450" s="1">
        <v>46073</v>
      </c>
      <c r="B450" t="s">
        <v>15</v>
      </c>
      <c r="C450" t="s">
        <v>10</v>
      </c>
      <c r="D450" t="s">
        <v>16</v>
      </c>
      <c r="E450">
        <v>859</v>
      </c>
      <c r="F450">
        <v>21</v>
      </c>
      <c r="G450">
        <v>77</v>
      </c>
      <c r="H450">
        <v>838</v>
      </c>
      <c r="I450">
        <v>2.4447031431897561</v>
      </c>
      <c r="J450">
        <v>97.555296856810244</v>
      </c>
      <c r="K450" t="str">
        <f>_xlfn.XLOOKUP(tblProduction[[#This Row],[Product]],tblProducts[Product],tblProducts[Category],"Not Found")</f>
        <v>Standard</v>
      </c>
      <c r="L450">
        <f>_xlfn.XLOOKUP(tblProduction[[#This Row],[Product]],tblProducts[Product],tblProducts[Target_Units],"Not Found")</f>
        <v>1000</v>
      </c>
    </row>
    <row r="451" spans="1:12" x14ac:dyDescent="0.3">
      <c r="A451" s="1">
        <v>46073</v>
      </c>
      <c r="B451" t="s">
        <v>15</v>
      </c>
      <c r="C451" t="s">
        <v>12</v>
      </c>
      <c r="D451" t="s">
        <v>11</v>
      </c>
      <c r="E451">
        <v>903</v>
      </c>
      <c r="F451">
        <v>22</v>
      </c>
      <c r="G451">
        <v>0</v>
      </c>
      <c r="H451">
        <v>881</v>
      </c>
      <c r="I451">
        <v>2.436323366555925</v>
      </c>
      <c r="J451">
        <v>97.563676633444075</v>
      </c>
      <c r="K451" t="str">
        <f>_xlfn.XLOOKUP(tblProduction[[#This Row],[Product]],tblProducts[Product],tblProducts[Category],"Not Found")</f>
        <v>Precision</v>
      </c>
      <c r="L451">
        <f>_xlfn.XLOOKUP(tblProduction[[#This Row],[Product]],tblProducts[Product],tblProducts[Target_Units],"Not Found")</f>
        <v>950</v>
      </c>
    </row>
    <row r="452" spans="1:12" x14ac:dyDescent="0.3">
      <c r="A452" s="1">
        <v>46073</v>
      </c>
      <c r="B452" t="s">
        <v>15</v>
      </c>
      <c r="C452" t="s">
        <v>13</v>
      </c>
      <c r="D452" t="s">
        <v>14</v>
      </c>
      <c r="E452">
        <v>641</v>
      </c>
      <c r="F452">
        <v>27</v>
      </c>
      <c r="G452">
        <v>64</v>
      </c>
      <c r="H452">
        <v>614</v>
      </c>
      <c r="I452">
        <v>4.2121684867394693</v>
      </c>
      <c r="J452">
        <v>95.787831513260528</v>
      </c>
      <c r="K452" t="str">
        <f>_xlfn.XLOOKUP(tblProduction[[#This Row],[Product]],tblProducts[Product],tblProducts[Category],"Not Found")</f>
        <v>Assembly</v>
      </c>
      <c r="L452">
        <f>_xlfn.XLOOKUP(tblProduction[[#This Row],[Product]],tblProducts[Product],tblProducts[Target_Units],"Not Found")</f>
        <v>850</v>
      </c>
    </row>
    <row r="453" spans="1:12" x14ac:dyDescent="0.3">
      <c r="A453" s="1">
        <v>46073</v>
      </c>
      <c r="B453" t="s">
        <v>17</v>
      </c>
      <c r="C453" t="s">
        <v>10</v>
      </c>
      <c r="D453" t="s">
        <v>18</v>
      </c>
      <c r="E453">
        <v>819</v>
      </c>
      <c r="F453">
        <v>28</v>
      </c>
      <c r="G453">
        <v>19</v>
      </c>
      <c r="H453">
        <v>791</v>
      </c>
      <c r="I453">
        <v>3.4188034188034191</v>
      </c>
      <c r="J453">
        <v>96.581196581196579</v>
      </c>
      <c r="K453" t="str">
        <f>_xlfn.XLOOKUP(tblProduction[[#This Row],[Product]],tblProducts[Product],tblProducts[Category],"Not Found")</f>
        <v>Assembly</v>
      </c>
      <c r="L453">
        <f>_xlfn.XLOOKUP(tblProduction[[#This Row],[Product]],tblProducts[Product],tblProducts[Target_Units],"Not Found")</f>
        <v>900</v>
      </c>
    </row>
    <row r="454" spans="1:12" x14ac:dyDescent="0.3">
      <c r="A454" s="1">
        <v>46073</v>
      </c>
      <c r="B454" t="s">
        <v>17</v>
      </c>
      <c r="C454" t="s">
        <v>12</v>
      </c>
      <c r="D454" t="s">
        <v>16</v>
      </c>
      <c r="E454">
        <v>852</v>
      </c>
      <c r="F454">
        <v>29</v>
      </c>
      <c r="G454">
        <v>11</v>
      </c>
      <c r="H454">
        <v>823</v>
      </c>
      <c r="I454">
        <v>3.403755868544601</v>
      </c>
      <c r="J454">
        <v>96.596244131455393</v>
      </c>
      <c r="K454" t="str">
        <f>_xlfn.XLOOKUP(tblProduction[[#This Row],[Product]],tblProducts[Product],tblProducts[Category],"Not Found")</f>
        <v>Standard</v>
      </c>
      <c r="L454">
        <f>_xlfn.XLOOKUP(tblProduction[[#This Row],[Product]],tblProducts[Product],tblProducts[Target_Units],"Not Found")</f>
        <v>1000</v>
      </c>
    </row>
    <row r="455" spans="1:12" x14ac:dyDescent="0.3">
      <c r="A455" s="1">
        <v>46073</v>
      </c>
      <c r="B455" t="s">
        <v>17</v>
      </c>
      <c r="C455" t="s">
        <v>13</v>
      </c>
      <c r="D455" t="s">
        <v>16</v>
      </c>
      <c r="E455">
        <v>714</v>
      </c>
      <c r="F455">
        <v>32</v>
      </c>
      <c r="G455">
        <v>66</v>
      </c>
      <c r="H455">
        <v>682</v>
      </c>
      <c r="I455">
        <v>4.4817927170868348</v>
      </c>
      <c r="J455">
        <v>95.518207282913167</v>
      </c>
      <c r="K455" t="str">
        <f>_xlfn.XLOOKUP(tblProduction[[#This Row],[Product]],tblProducts[Product],tblProducts[Category],"Not Found")</f>
        <v>Standard</v>
      </c>
      <c r="L455">
        <f>_xlfn.XLOOKUP(tblProduction[[#This Row],[Product]],tblProducts[Product],tblProducts[Target_Units],"Not Found")</f>
        <v>1000</v>
      </c>
    </row>
    <row r="456" spans="1:12" x14ac:dyDescent="0.3">
      <c r="A456" s="1">
        <v>46074</v>
      </c>
      <c r="B456" t="s">
        <v>9</v>
      </c>
      <c r="C456" t="s">
        <v>10</v>
      </c>
      <c r="D456" t="s">
        <v>11</v>
      </c>
      <c r="E456">
        <v>979</v>
      </c>
      <c r="F456">
        <v>14</v>
      </c>
      <c r="G456">
        <v>30</v>
      </c>
      <c r="H456">
        <v>965</v>
      </c>
      <c r="I456">
        <v>1.4300306435137899</v>
      </c>
      <c r="J456">
        <v>98.569969356486212</v>
      </c>
      <c r="K456" t="str">
        <f>_xlfn.XLOOKUP(tblProduction[[#This Row],[Product]],tblProducts[Product],tblProducts[Category],"Not Found")</f>
        <v>Precision</v>
      </c>
      <c r="L456">
        <f>_xlfn.XLOOKUP(tblProduction[[#This Row],[Product]],tblProducts[Product],tblProducts[Target_Units],"Not Found")</f>
        <v>950</v>
      </c>
    </row>
    <row r="457" spans="1:12" x14ac:dyDescent="0.3">
      <c r="A457" s="1">
        <v>46074</v>
      </c>
      <c r="B457" t="s">
        <v>9</v>
      </c>
      <c r="C457" t="s">
        <v>12</v>
      </c>
      <c r="D457" t="s">
        <v>11</v>
      </c>
      <c r="E457">
        <v>901</v>
      </c>
      <c r="F457">
        <v>13</v>
      </c>
      <c r="G457">
        <v>59</v>
      </c>
      <c r="H457">
        <v>888</v>
      </c>
      <c r="I457">
        <v>1.44284128745838</v>
      </c>
      <c r="J457">
        <v>98.557158712541622</v>
      </c>
      <c r="K457" t="str">
        <f>_xlfn.XLOOKUP(tblProduction[[#This Row],[Product]],tblProducts[Product],tblProducts[Category],"Not Found")</f>
        <v>Precision</v>
      </c>
      <c r="L457">
        <f>_xlfn.XLOOKUP(tblProduction[[#This Row],[Product]],tblProducts[Product],tblProducts[Target_Units],"Not Found")</f>
        <v>950</v>
      </c>
    </row>
    <row r="458" spans="1:12" x14ac:dyDescent="0.3">
      <c r="A458" s="1">
        <v>46074</v>
      </c>
      <c r="B458" t="s">
        <v>9</v>
      </c>
      <c r="C458" t="s">
        <v>13</v>
      </c>
      <c r="D458" t="s">
        <v>14</v>
      </c>
      <c r="E458">
        <v>684</v>
      </c>
      <c r="F458">
        <v>22</v>
      </c>
      <c r="G458">
        <v>79</v>
      </c>
      <c r="H458">
        <v>662</v>
      </c>
      <c r="I458">
        <v>3.2163742690058479</v>
      </c>
      <c r="J458">
        <v>96.783625730994146</v>
      </c>
      <c r="K458" t="str">
        <f>_xlfn.XLOOKUP(tblProduction[[#This Row],[Product]],tblProducts[Product],tblProducts[Category],"Not Found")</f>
        <v>Assembly</v>
      </c>
      <c r="L458">
        <f>_xlfn.XLOOKUP(tblProduction[[#This Row],[Product]],tblProducts[Product],tblProducts[Target_Units],"Not Found")</f>
        <v>850</v>
      </c>
    </row>
    <row r="459" spans="1:12" x14ac:dyDescent="0.3">
      <c r="A459" s="1">
        <v>46074</v>
      </c>
      <c r="B459" t="s">
        <v>15</v>
      </c>
      <c r="C459" t="s">
        <v>10</v>
      </c>
      <c r="D459" t="s">
        <v>18</v>
      </c>
      <c r="E459">
        <v>782</v>
      </c>
      <c r="F459">
        <v>19</v>
      </c>
      <c r="G459">
        <v>84</v>
      </c>
      <c r="H459">
        <v>763</v>
      </c>
      <c r="I459">
        <v>2.429667519181586</v>
      </c>
      <c r="J459">
        <v>97.570332480818408</v>
      </c>
      <c r="K459" t="str">
        <f>_xlfn.XLOOKUP(tblProduction[[#This Row],[Product]],tblProducts[Product],tblProducts[Category],"Not Found")</f>
        <v>Assembly</v>
      </c>
      <c r="L459">
        <f>_xlfn.XLOOKUP(tblProduction[[#This Row],[Product]],tblProducts[Product],tblProducts[Target_Units],"Not Found")</f>
        <v>900</v>
      </c>
    </row>
    <row r="460" spans="1:12" x14ac:dyDescent="0.3">
      <c r="A460" s="1">
        <v>46074</v>
      </c>
      <c r="B460" t="s">
        <v>15</v>
      </c>
      <c r="C460" t="s">
        <v>12</v>
      </c>
      <c r="D460" t="s">
        <v>11</v>
      </c>
      <c r="E460">
        <v>907</v>
      </c>
      <c r="F460">
        <v>22</v>
      </c>
      <c r="G460">
        <v>25</v>
      </c>
      <c r="H460">
        <v>885</v>
      </c>
      <c r="I460">
        <v>2.4255788313120181</v>
      </c>
      <c r="J460">
        <v>97.574421168687991</v>
      </c>
      <c r="K460" t="str">
        <f>_xlfn.XLOOKUP(tblProduction[[#This Row],[Product]],tblProducts[Product],tblProducts[Category],"Not Found")</f>
        <v>Precision</v>
      </c>
      <c r="L460">
        <f>_xlfn.XLOOKUP(tblProduction[[#This Row],[Product]],tblProducts[Product],tblProducts[Target_Units],"Not Found")</f>
        <v>950</v>
      </c>
    </row>
    <row r="461" spans="1:12" x14ac:dyDescent="0.3">
      <c r="A461" s="1">
        <v>46074</v>
      </c>
      <c r="B461" t="s">
        <v>15</v>
      </c>
      <c r="C461" t="s">
        <v>13</v>
      </c>
      <c r="D461" t="s">
        <v>18</v>
      </c>
      <c r="E461">
        <v>695</v>
      </c>
      <c r="F461">
        <v>24</v>
      </c>
      <c r="G461">
        <v>56</v>
      </c>
      <c r="H461">
        <v>671</v>
      </c>
      <c r="I461">
        <v>3.4532374100719418</v>
      </c>
      <c r="J461">
        <v>96.546762589928065</v>
      </c>
      <c r="K461" t="str">
        <f>_xlfn.XLOOKUP(tblProduction[[#This Row],[Product]],tblProducts[Product],tblProducts[Category],"Not Found")</f>
        <v>Assembly</v>
      </c>
      <c r="L461">
        <f>_xlfn.XLOOKUP(tblProduction[[#This Row],[Product]],tblProducts[Product],tblProducts[Target_Units],"Not Found")</f>
        <v>900</v>
      </c>
    </row>
    <row r="462" spans="1:12" x14ac:dyDescent="0.3">
      <c r="A462" s="1">
        <v>46074</v>
      </c>
      <c r="B462" t="s">
        <v>17</v>
      </c>
      <c r="C462" t="s">
        <v>10</v>
      </c>
      <c r="D462" t="s">
        <v>16</v>
      </c>
      <c r="E462">
        <v>849</v>
      </c>
      <c r="F462">
        <v>29</v>
      </c>
      <c r="G462">
        <v>19</v>
      </c>
      <c r="H462">
        <v>820</v>
      </c>
      <c r="I462">
        <v>3.4157832744405181</v>
      </c>
      <c r="J462">
        <v>96.584216725559486</v>
      </c>
      <c r="K462" t="str">
        <f>_xlfn.XLOOKUP(tblProduction[[#This Row],[Product]],tblProducts[Product],tblProducts[Category],"Not Found")</f>
        <v>Standard</v>
      </c>
      <c r="L462">
        <f>_xlfn.XLOOKUP(tblProduction[[#This Row],[Product]],tblProducts[Product],tblProducts[Target_Units],"Not Found")</f>
        <v>1000</v>
      </c>
    </row>
    <row r="463" spans="1:12" x14ac:dyDescent="0.3">
      <c r="A463" s="1">
        <v>46074</v>
      </c>
      <c r="B463" t="s">
        <v>17</v>
      </c>
      <c r="C463" t="s">
        <v>12</v>
      </c>
      <c r="D463" t="s">
        <v>11</v>
      </c>
      <c r="E463">
        <v>750</v>
      </c>
      <c r="F463">
        <v>26</v>
      </c>
      <c r="G463">
        <v>18</v>
      </c>
      <c r="H463">
        <v>724</v>
      </c>
      <c r="I463">
        <v>3.4666666666666659</v>
      </c>
      <c r="J463">
        <v>96.533333333333331</v>
      </c>
      <c r="K463" t="str">
        <f>_xlfn.XLOOKUP(tblProduction[[#This Row],[Product]],tblProducts[Product],tblProducts[Category],"Not Found")</f>
        <v>Precision</v>
      </c>
      <c r="L463">
        <f>_xlfn.XLOOKUP(tblProduction[[#This Row],[Product]],tblProducts[Product],tblProducts[Target_Units],"Not Found")</f>
        <v>950</v>
      </c>
    </row>
    <row r="464" spans="1:12" x14ac:dyDescent="0.3">
      <c r="A464" s="1">
        <v>46074</v>
      </c>
      <c r="B464" t="s">
        <v>17</v>
      </c>
      <c r="C464" t="s">
        <v>13</v>
      </c>
      <c r="D464" t="s">
        <v>16</v>
      </c>
      <c r="E464">
        <v>745</v>
      </c>
      <c r="F464">
        <v>33</v>
      </c>
      <c r="G464">
        <v>49</v>
      </c>
      <c r="H464">
        <v>712</v>
      </c>
      <c r="I464">
        <v>4.4295302013422821</v>
      </c>
      <c r="J464">
        <v>95.570469798657726</v>
      </c>
      <c r="K464" t="str">
        <f>_xlfn.XLOOKUP(tblProduction[[#This Row],[Product]],tblProducts[Product],tblProducts[Category],"Not Found")</f>
        <v>Standard</v>
      </c>
      <c r="L464">
        <f>_xlfn.XLOOKUP(tblProduction[[#This Row],[Product]],tblProducts[Product],tblProducts[Target_Units],"Not Found")</f>
        <v>1000</v>
      </c>
    </row>
    <row r="465" spans="1:12" x14ac:dyDescent="0.3">
      <c r="A465" s="1">
        <v>46075</v>
      </c>
      <c r="B465" t="s">
        <v>9</v>
      </c>
      <c r="C465" t="s">
        <v>10</v>
      </c>
      <c r="D465" t="s">
        <v>18</v>
      </c>
      <c r="E465">
        <v>951</v>
      </c>
      <c r="F465">
        <v>14</v>
      </c>
      <c r="G465">
        <v>5</v>
      </c>
      <c r="H465">
        <v>937</v>
      </c>
      <c r="I465">
        <v>1.4721345951629861</v>
      </c>
      <c r="J465">
        <v>98.527865404837016</v>
      </c>
      <c r="K465" t="str">
        <f>_xlfn.XLOOKUP(tblProduction[[#This Row],[Product]],tblProducts[Product],tblProducts[Category],"Not Found")</f>
        <v>Assembly</v>
      </c>
      <c r="L465">
        <f>_xlfn.XLOOKUP(tblProduction[[#This Row],[Product]],tblProducts[Product],tblProducts[Target_Units],"Not Found")</f>
        <v>900</v>
      </c>
    </row>
    <row r="466" spans="1:12" x14ac:dyDescent="0.3">
      <c r="A466" s="1">
        <v>46075</v>
      </c>
      <c r="B466" t="s">
        <v>9</v>
      </c>
      <c r="C466" t="s">
        <v>12</v>
      </c>
      <c r="D466" t="s">
        <v>14</v>
      </c>
      <c r="E466">
        <v>791</v>
      </c>
      <c r="F466">
        <v>18</v>
      </c>
      <c r="G466">
        <v>65</v>
      </c>
      <c r="H466">
        <v>773</v>
      </c>
      <c r="I466">
        <v>2.2756005056890012</v>
      </c>
      <c r="J466">
        <v>97.724399494311001</v>
      </c>
      <c r="K466" t="str">
        <f>_xlfn.XLOOKUP(tblProduction[[#This Row],[Product]],tblProducts[Product],tblProducts[Category],"Not Found")</f>
        <v>Assembly</v>
      </c>
      <c r="L466">
        <f>_xlfn.XLOOKUP(tblProduction[[#This Row],[Product]],tblProducts[Product],tblProducts[Target_Units],"Not Found")</f>
        <v>850</v>
      </c>
    </row>
    <row r="467" spans="1:12" x14ac:dyDescent="0.3">
      <c r="A467" s="1">
        <v>46075</v>
      </c>
      <c r="B467" t="s">
        <v>9</v>
      </c>
      <c r="C467" t="s">
        <v>13</v>
      </c>
      <c r="D467" t="s">
        <v>16</v>
      </c>
      <c r="E467">
        <v>909</v>
      </c>
      <c r="F467">
        <v>22</v>
      </c>
      <c r="G467">
        <v>33</v>
      </c>
      <c r="H467">
        <v>887</v>
      </c>
      <c r="I467">
        <v>2.4202420242024201</v>
      </c>
      <c r="J467">
        <v>97.579757975797577</v>
      </c>
      <c r="K467" t="str">
        <f>_xlfn.XLOOKUP(tblProduction[[#This Row],[Product]],tblProducts[Product],tblProducts[Category],"Not Found")</f>
        <v>Standard</v>
      </c>
      <c r="L467">
        <f>_xlfn.XLOOKUP(tblProduction[[#This Row],[Product]],tblProducts[Product],tblProducts[Target_Units],"Not Found")</f>
        <v>1000</v>
      </c>
    </row>
    <row r="468" spans="1:12" x14ac:dyDescent="0.3">
      <c r="A468" s="1">
        <v>46075</v>
      </c>
      <c r="B468" t="s">
        <v>15</v>
      </c>
      <c r="C468" t="s">
        <v>10</v>
      </c>
      <c r="D468" t="s">
        <v>18</v>
      </c>
      <c r="E468">
        <v>759</v>
      </c>
      <c r="F468">
        <v>18</v>
      </c>
      <c r="G468">
        <v>72</v>
      </c>
      <c r="H468">
        <v>741</v>
      </c>
      <c r="I468">
        <v>2.3715415019762842</v>
      </c>
      <c r="J468">
        <v>97.628458498023718</v>
      </c>
      <c r="K468" t="str">
        <f>_xlfn.XLOOKUP(tblProduction[[#This Row],[Product]],tblProducts[Product],tblProducts[Category],"Not Found")</f>
        <v>Assembly</v>
      </c>
      <c r="L468">
        <f>_xlfn.XLOOKUP(tblProduction[[#This Row],[Product]],tblProducts[Product],tblProducts[Target_Units],"Not Found")</f>
        <v>900</v>
      </c>
    </row>
    <row r="469" spans="1:12" x14ac:dyDescent="0.3">
      <c r="A469" s="1">
        <v>46075</v>
      </c>
      <c r="B469" t="s">
        <v>15</v>
      </c>
      <c r="C469" t="s">
        <v>12</v>
      </c>
      <c r="D469" t="s">
        <v>16</v>
      </c>
      <c r="E469">
        <v>835</v>
      </c>
      <c r="F469">
        <v>20</v>
      </c>
      <c r="G469">
        <v>74</v>
      </c>
      <c r="H469">
        <v>815</v>
      </c>
      <c r="I469">
        <v>2.395209580838324</v>
      </c>
      <c r="J469">
        <v>97.604790419161674</v>
      </c>
      <c r="K469" t="str">
        <f>_xlfn.XLOOKUP(tblProduction[[#This Row],[Product]],tblProducts[Product],tblProducts[Category],"Not Found")</f>
        <v>Standard</v>
      </c>
      <c r="L469">
        <f>_xlfn.XLOOKUP(tblProduction[[#This Row],[Product]],tblProducts[Product],tblProducts[Target_Units],"Not Found")</f>
        <v>1000</v>
      </c>
    </row>
    <row r="470" spans="1:12" x14ac:dyDescent="0.3">
      <c r="A470" s="1">
        <v>46075</v>
      </c>
      <c r="B470" t="s">
        <v>15</v>
      </c>
      <c r="C470" t="s">
        <v>13</v>
      </c>
      <c r="D470" t="s">
        <v>11</v>
      </c>
      <c r="E470">
        <v>704</v>
      </c>
      <c r="F470">
        <v>24</v>
      </c>
      <c r="G470">
        <v>70</v>
      </c>
      <c r="H470">
        <v>680</v>
      </c>
      <c r="I470">
        <v>3.4090909090909092</v>
      </c>
      <c r="J470">
        <v>96.590909090909093</v>
      </c>
      <c r="K470" t="str">
        <f>_xlfn.XLOOKUP(tblProduction[[#This Row],[Product]],tblProducts[Product],tblProducts[Category],"Not Found")</f>
        <v>Precision</v>
      </c>
      <c r="L470">
        <f>_xlfn.XLOOKUP(tblProduction[[#This Row],[Product]],tblProducts[Product],tblProducts[Target_Units],"Not Found")</f>
        <v>950</v>
      </c>
    </row>
    <row r="471" spans="1:12" x14ac:dyDescent="0.3">
      <c r="A471" s="1">
        <v>46075</v>
      </c>
      <c r="B471" t="s">
        <v>17</v>
      </c>
      <c r="C471" t="s">
        <v>10</v>
      </c>
      <c r="D471" t="s">
        <v>14</v>
      </c>
      <c r="E471">
        <v>720</v>
      </c>
      <c r="F471">
        <v>30</v>
      </c>
      <c r="G471">
        <v>13</v>
      </c>
      <c r="H471">
        <v>690</v>
      </c>
      <c r="I471">
        <v>4.1666666666666661</v>
      </c>
      <c r="J471">
        <v>95.833333333333343</v>
      </c>
      <c r="K471" t="str">
        <f>_xlfn.XLOOKUP(tblProduction[[#This Row],[Product]],tblProducts[Product],tblProducts[Category],"Not Found")</f>
        <v>Assembly</v>
      </c>
      <c r="L471">
        <f>_xlfn.XLOOKUP(tblProduction[[#This Row],[Product]],tblProducts[Product],tblProducts[Target_Units],"Not Found")</f>
        <v>850</v>
      </c>
    </row>
    <row r="472" spans="1:12" x14ac:dyDescent="0.3">
      <c r="A472" s="1">
        <v>46075</v>
      </c>
      <c r="B472" t="s">
        <v>17</v>
      </c>
      <c r="C472" t="s">
        <v>12</v>
      </c>
      <c r="D472" t="s">
        <v>16</v>
      </c>
      <c r="E472">
        <v>876</v>
      </c>
      <c r="F472">
        <v>30</v>
      </c>
      <c r="G472">
        <v>7</v>
      </c>
      <c r="H472">
        <v>846</v>
      </c>
      <c r="I472">
        <v>3.4246575342465748</v>
      </c>
      <c r="J472">
        <v>96.575342465753423</v>
      </c>
      <c r="K472" t="str">
        <f>_xlfn.XLOOKUP(tblProduction[[#This Row],[Product]],tblProducts[Product],tblProducts[Category],"Not Found")</f>
        <v>Standard</v>
      </c>
      <c r="L472">
        <f>_xlfn.XLOOKUP(tblProduction[[#This Row],[Product]],tblProducts[Product],tblProducts[Target_Units],"Not Found")</f>
        <v>1000</v>
      </c>
    </row>
    <row r="473" spans="1:12" x14ac:dyDescent="0.3">
      <c r="A473" s="1">
        <v>46075</v>
      </c>
      <c r="B473" t="s">
        <v>17</v>
      </c>
      <c r="C473" t="s">
        <v>13</v>
      </c>
      <c r="D473" t="s">
        <v>18</v>
      </c>
      <c r="E473">
        <v>658</v>
      </c>
      <c r="F473">
        <v>29</v>
      </c>
      <c r="G473">
        <v>38</v>
      </c>
      <c r="H473">
        <v>629</v>
      </c>
      <c r="I473">
        <v>4.4072948328267474</v>
      </c>
      <c r="J473">
        <v>95.59270516717325</v>
      </c>
      <c r="K473" t="str">
        <f>_xlfn.XLOOKUP(tblProduction[[#This Row],[Product]],tblProducts[Product],tblProducts[Category],"Not Found")</f>
        <v>Assembly</v>
      </c>
      <c r="L473">
        <f>_xlfn.XLOOKUP(tblProduction[[#This Row],[Product]],tblProducts[Product],tblProducts[Target_Units],"Not Found")</f>
        <v>900</v>
      </c>
    </row>
    <row r="474" spans="1:12" x14ac:dyDescent="0.3">
      <c r="A474" s="1">
        <v>46076</v>
      </c>
      <c r="B474" t="s">
        <v>9</v>
      </c>
      <c r="C474" t="s">
        <v>10</v>
      </c>
      <c r="D474" t="s">
        <v>14</v>
      </c>
      <c r="E474">
        <v>867</v>
      </c>
      <c r="F474">
        <v>19</v>
      </c>
      <c r="G474">
        <v>26</v>
      </c>
      <c r="H474">
        <v>848</v>
      </c>
      <c r="I474">
        <v>2.1914648212226071</v>
      </c>
      <c r="J474">
        <v>97.80853517877739</v>
      </c>
      <c r="K474" t="str">
        <f>_xlfn.XLOOKUP(tblProduction[[#This Row],[Product]],tblProducts[Product],tblProducts[Category],"Not Found")</f>
        <v>Assembly</v>
      </c>
      <c r="L474">
        <f>_xlfn.XLOOKUP(tblProduction[[#This Row],[Product]],tblProducts[Product],tblProducts[Target_Units],"Not Found")</f>
        <v>850</v>
      </c>
    </row>
    <row r="475" spans="1:12" x14ac:dyDescent="0.3">
      <c r="A475" s="1">
        <v>46076</v>
      </c>
      <c r="B475" t="s">
        <v>9</v>
      </c>
      <c r="C475" t="s">
        <v>12</v>
      </c>
      <c r="D475" t="s">
        <v>14</v>
      </c>
      <c r="E475">
        <v>783</v>
      </c>
      <c r="F475">
        <v>18</v>
      </c>
      <c r="G475">
        <v>69</v>
      </c>
      <c r="H475">
        <v>765</v>
      </c>
      <c r="I475">
        <v>2.298850574712644</v>
      </c>
      <c r="J475">
        <v>97.701149425287355</v>
      </c>
      <c r="K475" t="str">
        <f>_xlfn.XLOOKUP(tblProduction[[#This Row],[Product]],tblProducts[Product],tblProducts[Category],"Not Found")</f>
        <v>Assembly</v>
      </c>
      <c r="L475">
        <f>_xlfn.XLOOKUP(tblProduction[[#This Row],[Product]],tblProducts[Product],tblProducts[Target_Units],"Not Found")</f>
        <v>850</v>
      </c>
    </row>
    <row r="476" spans="1:12" x14ac:dyDescent="0.3">
      <c r="A476" s="1">
        <v>46076</v>
      </c>
      <c r="B476" t="s">
        <v>9</v>
      </c>
      <c r="C476" t="s">
        <v>13</v>
      </c>
      <c r="D476" t="s">
        <v>18</v>
      </c>
      <c r="E476">
        <v>780</v>
      </c>
      <c r="F476">
        <v>19</v>
      </c>
      <c r="G476">
        <v>44</v>
      </c>
      <c r="H476">
        <v>761</v>
      </c>
      <c r="I476">
        <v>2.4358974358974361</v>
      </c>
      <c r="J476">
        <v>97.564102564102555</v>
      </c>
      <c r="K476" t="str">
        <f>_xlfn.XLOOKUP(tblProduction[[#This Row],[Product]],tblProducts[Product],tblProducts[Category],"Not Found")</f>
        <v>Assembly</v>
      </c>
      <c r="L476">
        <f>_xlfn.XLOOKUP(tblProduction[[#This Row],[Product]],tblProducts[Product],tblProducts[Target_Units],"Not Found")</f>
        <v>900</v>
      </c>
    </row>
    <row r="477" spans="1:12" x14ac:dyDescent="0.3">
      <c r="A477" s="1">
        <v>46076</v>
      </c>
      <c r="B477" t="s">
        <v>15</v>
      </c>
      <c r="C477" t="s">
        <v>10</v>
      </c>
      <c r="D477" t="s">
        <v>16</v>
      </c>
      <c r="E477">
        <v>930</v>
      </c>
      <c r="F477">
        <v>23</v>
      </c>
      <c r="G477">
        <v>27</v>
      </c>
      <c r="H477">
        <v>907</v>
      </c>
      <c r="I477">
        <v>2.4731182795698921</v>
      </c>
      <c r="J477">
        <v>97.526881720430097</v>
      </c>
      <c r="K477" t="str">
        <f>_xlfn.XLOOKUP(tblProduction[[#This Row],[Product]],tblProducts[Product],tblProducts[Category],"Not Found")</f>
        <v>Standard</v>
      </c>
      <c r="L477">
        <f>_xlfn.XLOOKUP(tblProduction[[#This Row],[Product]],tblProducts[Product],tblProducts[Target_Units],"Not Found")</f>
        <v>1000</v>
      </c>
    </row>
    <row r="478" spans="1:12" x14ac:dyDescent="0.3">
      <c r="A478" s="1">
        <v>46076</v>
      </c>
      <c r="B478" t="s">
        <v>15</v>
      </c>
      <c r="C478" t="s">
        <v>12</v>
      </c>
      <c r="D478" t="s">
        <v>11</v>
      </c>
      <c r="E478">
        <v>867</v>
      </c>
      <c r="F478">
        <v>21</v>
      </c>
      <c r="G478">
        <v>36</v>
      </c>
      <c r="H478">
        <v>846</v>
      </c>
      <c r="I478">
        <v>2.422145328719723</v>
      </c>
      <c r="J478">
        <v>97.577854671280278</v>
      </c>
      <c r="K478" t="str">
        <f>_xlfn.XLOOKUP(tblProduction[[#This Row],[Product]],tblProducts[Product],tblProducts[Category],"Not Found")</f>
        <v>Precision</v>
      </c>
      <c r="L478">
        <f>_xlfn.XLOOKUP(tblProduction[[#This Row],[Product]],tblProducts[Product],tblProducts[Target_Units],"Not Found")</f>
        <v>950</v>
      </c>
    </row>
    <row r="479" spans="1:12" x14ac:dyDescent="0.3">
      <c r="A479" s="1">
        <v>46076</v>
      </c>
      <c r="B479" t="s">
        <v>15</v>
      </c>
      <c r="C479" t="s">
        <v>13</v>
      </c>
      <c r="D479" t="s">
        <v>16</v>
      </c>
      <c r="E479">
        <v>773</v>
      </c>
      <c r="F479">
        <v>27</v>
      </c>
      <c r="G479">
        <v>46</v>
      </c>
      <c r="H479">
        <v>746</v>
      </c>
      <c r="I479">
        <v>3.492884864165589</v>
      </c>
      <c r="J479">
        <v>96.507115135834411</v>
      </c>
      <c r="K479" t="str">
        <f>_xlfn.XLOOKUP(tblProduction[[#This Row],[Product]],tblProducts[Product],tblProducts[Category],"Not Found")</f>
        <v>Standard</v>
      </c>
      <c r="L479">
        <f>_xlfn.XLOOKUP(tblProduction[[#This Row],[Product]],tblProducts[Product],tblProducts[Target_Units],"Not Found")</f>
        <v>1000</v>
      </c>
    </row>
    <row r="480" spans="1:12" x14ac:dyDescent="0.3">
      <c r="A480" s="1">
        <v>46076</v>
      </c>
      <c r="B480" t="s">
        <v>17</v>
      </c>
      <c r="C480" t="s">
        <v>10</v>
      </c>
      <c r="D480" t="s">
        <v>18</v>
      </c>
      <c r="E480">
        <v>779</v>
      </c>
      <c r="F480">
        <v>27</v>
      </c>
      <c r="G480">
        <v>16</v>
      </c>
      <c r="H480">
        <v>752</v>
      </c>
      <c r="I480">
        <v>3.4659820282413349</v>
      </c>
      <c r="J480">
        <v>96.534017971758672</v>
      </c>
      <c r="K480" t="str">
        <f>_xlfn.XLOOKUP(tblProduction[[#This Row],[Product]],tblProducts[Product],tblProducts[Category],"Not Found")</f>
        <v>Assembly</v>
      </c>
      <c r="L480">
        <f>_xlfn.XLOOKUP(tblProduction[[#This Row],[Product]],tblProducts[Product],tblProducts[Target_Units],"Not Found")</f>
        <v>900</v>
      </c>
    </row>
    <row r="481" spans="1:12" x14ac:dyDescent="0.3">
      <c r="A481" s="1">
        <v>46076</v>
      </c>
      <c r="B481" t="s">
        <v>17</v>
      </c>
      <c r="C481" t="s">
        <v>12</v>
      </c>
      <c r="D481" t="s">
        <v>11</v>
      </c>
      <c r="E481">
        <v>726</v>
      </c>
      <c r="F481">
        <v>25</v>
      </c>
      <c r="G481">
        <v>75</v>
      </c>
      <c r="H481">
        <v>701</v>
      </c>
      <c r="I481">
        <v>3.443526170798898</v>
      </c>
      <c r="J481">
        <v>96.55647382920111</v>
      </c>
      <c r="K481" t="str">
        <f>_xlfn.XLOOKUP(tblProduction[[#This Row],[Product]],tblProducts[Product],tblProducts[Category],"Not Found")</f>
        <v>Precision</v>
      </c>
      <c r="L481">
        <f>_xlfn.XLOOKUP(tblProduction[[#This Row],[Product]],tblProducts[Product],tblProducts[Target_Units],"Not Found")</f>
        <v>950</v>
      </c>
    </row>
    <row r="482" spans="1:12" x14ac:dyDescent="0.3">
      <c r="A482" s="1">
        <v>46076</v>
      </c>
      <c r="B482" t="s">
        <v>17</v>
      </c>
      <c r="C482" t="s">
        <v>13</v>
      </c>
      <c r="D482" t="s">
        <v>18</v>
      </c>
      <c r="E482">
        <v>737</v>
      </c>
      <c r="F482">
        <v>33</v>
      </c>
      <c r="G482">
        <v>0</v>
      </c>
      <c r="H482">
        <v>704</v>
      </c>
      <c r="I482">
        <v>4.4776119402985071</v>
      </c>
      <c r="J482">
        <v>95.522388059701484</v>
      </c>
      <c r="K482" t="str">
        <f>_xlfn.XLOOKUP(tblProduction[[#This Row],[Product]],tblProducts[Product],tblProducts[Category],"Not Found")</f>
        <v>Assembly</v>
      </c>
      <c r="L482">
        <f>_xlfn.XLOOKUP(tblProduction[[#This Row],[Product]],tblProducts[Product],tblProducts[Target_Units],"Not Found")</f>
        <v>900</v>
      </c>
    </row>
    <row r="483" spans="1:12" x14ac:dyDescent="0.3">
      <c r="A483" s="1">
        <v>46077</v>
      </c>
      <c r="B483" t="s">
        <v>9</v>
      </c>
      <c r="C483" t="s">
        <v>10</v>
      </c>
      <c r="D483" t="s">
        <v>16</v>
      </c>
      <c r="E483">
        <v>1005</v>
      </c>
      <c r="F483">
        <v>15</v>
      </c>
      <c r="G483">
        <v>59</v>
      </c>
      <c r="H483">
        <v>990</v>
      </c>
      <c r="I483">
        <v>1.4925373134328359</v>
      </c>
      <c r="J483">
        <v>98.507462686567166</v>
      </c>
      <c r="K483" t="str">
        <f>_xlfn.XLOOKUP(tblProduction[[#This Row],[Product]],tblProducts[Product],tblProducts[Category],"Not Found")</f>
        <v>Standard</v>
      </c>
      <c r="L483">
        <f>_xlfn.XLOOKUP(tblProduction[[#This Row],[Product]],tblProducts[Product],tblProducts[Target_Units],"Not Found")</f>
        <v>1000</v>
      </c>
    </row>
    <row r="484" spans="1:12" x14ac:dyDescent="0.3">
      <c r="A484" s="1">
        <v>46077</v>
      </c>
      <c r="B484" t="s">
        <v>9</v>
      </c>
      <c r="C484" t="s">
        <v>12</v>
      </c>
      <c r="D484" t="s">
        <v>18</v>
      </c>
      <c r="E484">
        <v>804</v>
      </c>
      <c r="F484">
        <v>12</v>
      </c>
      <c r="G484">
        <v>89</v>
      </c>
      <c r="H484">
        <v>792</v>
      </c>
      <c r="I484">
        <v>1.4925373134328359</v>
      </c>
      <c r="J484">
        <v>98.507462686567166</v>
      </c>
      <c r="K484" t="str">
        <f>_xlfn.XLOOKUP(tblProduction[[#This Row],[Product]],tblProducts[Product],tblProducts[Category],"Not Found")</f>
        <v>Assembly</v>
      </c>
      <c r="L484">
        <f>_xlfn.XLOOKUP(tblProduction[[#This Row],[Product]],tblProducts[Product],tblProducts[Target_Units],"Not Found")</f>
        <v>900</v>
      </c>
    </row>
    <row r="485" spans="1:12" x14ac:dyDescent="0.3">
      <c r="A485" s="1">
        <v>46077</v>
      </c>
      <c r="B485" t="s">
        <v>9</v>
      </c>
      <c r="C485" t="s">
        <v>13</v>
      </c>
      <c r="D485" t="s">
        <v>18</v>
      </c>
      <c r="E485">
        <v>777</v>
      </c>
      <c r="F485">
        <v>19</v>
      </c>
      <c r="G485">
        <v>88</v>
      </c>
      <c r="H485">
        <v>758</v>
      </c>
      <c r="I485">
        <v>2.445302445302445</v>
      </c>
      <c r="J485">
        <v>97.554697554697555</v>
      </c>
      <c r="K485" t="str">
        <f>_xlfn.XLOOKUP(tblProduction[[#This Row],[Product]],tblProducts[Product],tblProducts[Category],"Not Found")</f>
        <v>Assembly</v>
      </c>
      <c r="L485">
        <f>_xlfn.XLOOKUP(tblProduction[[#This Row],[Product]],tblProducts[Product],tblProducts[Target_Units],"Not Found")</f>
        <v>900</v>
      </c>
    </row>
    <row r="486" spans="1:12" x14ac:dyDescent="0.3">
      <c r="A486" s="1">
        <v>46077</v>
      </c>
      <c r="B486" t="s">
        <v>15</v>
      </c>
      <c r="C486" t="s">
        <v>10</v>
      </c>
      <c r="D486" t="s">
        <v>14</v>
      </c>
      <c r="E486">
        <v>728</v>
      </c>
      <c r="F486">
        <v>24</v>
      </c>
      <c r="G486">
        <v>73</v>
      </c>
      <c r="H486">
        <v>704</v>
      </c>
      <c r="I486">
        <v>3.296703296703297</v>
      </c>
      <c r="J486">
        <v>96.703296703296701</v>
      </c>
      <c r="K486" t="str">
        <f>_xlfn.XLOOKUP(tblProduction[[#This Row],[Product]],tblProducts[Product],tblProducts[Category],"Not Found")</f>
        <v>Assembly</v>
      </c>
      <c r="L486">
        <f>_xlfn.XLOOKUP(tblProduction[[#This Row],[Product]],tblProducts[Product],tblProducts[Target_Units],"Not Found")</f>
        <v>850</v>
      </c>
    </row>
    <row r="487" spans="1:12" x14ac:dyDescent="0.3">
      <c r="A487" s="1">
        <v>46077</v>
      </c>
      <c r="B487" t="s">
        <v>15</v>
      </c>
      <c r="C487" t="s">
        <v>12</v>
      </c>
      <c r="D487" t="s">
        <v>16</v>
      </c>
      <c r="E487">
        <v>884</v>
      </c>
      <c r="F487">
        <v>22</v>
      </c>
      <c r="G487">
        <v>13</v>
      </c>
      <c r="H487">
        <v>862</v>
      </c>
      <c r="I487">
        <v>2.4886877828054299</v>
      </c>
      <c r="J487">
        <v>97.511312217194572</v>
      </c>
      <c r="K487" t="str">
        <f>_xlfn.XLOOKUP(tblProduction[[#This Row],[Product]],tblProducts[Product],tblProducts[Category],"Not Found")</f>
        <v>Standard</v>
      </c>
      <c r="L487">
        <f>_xlfn.XLOOKUP(tblProduction[[#This Row],[Product]],tblProducts[Product],tblProducts[Target_Units],"Not Found")</f>
        <v>1000</v>
      </c>
    </row>
    <row r="488" spans="1:12" x14ac:dyDescent="0.3">
      <c r="A488" s="1">
        <v>46077</v>
      </c>
      <c r="B488" t="s">
        <v>15</v>
      </c>
      <c r="C488" t="s">
        <v>13</v>
      </c>
      <c r="D488" t="s">
        <v>11</v>
      </c>
      <c r="E488">
        <v>758</v>
      </c>
      <c r="F488">
        <v>26</v>
      </c>
      <c r="G488">
        <v>61</v>
      </c>
      <c r="H488">
        <v>732</v>
      </c>
      <c r="I488">
        <v>3.4300791556728232</v>
      </c>
      <c r="J488">
        <v>96.569920844327171</v>
      </c>
      <c r="K488" t="str">
        <f>_xlfn.XLOOKUP(tblProduction[[#This Row],[Product]],tblProducts[Product],tblProducts[Category],"Not Found")</f>
        <v>Precision</v>
      </c>
      <c r="L488">
        <f>_xlfn.XLOOKUP(tblProduction[[#This Row],[Product]],tblProducts[Product],tblProducts[Target_Units],"Not Found")</f>
        <v>950</v>
      </c>
    </row>
    <row r="489" spans="1:12" x14ac:dyDescent="0.3">
      <c r="A489" s="1">
        <v>46077</v>
      </c>
      <c r="B489" t="s">
        <v>17</v>
      </c>
      <c r="C489" t="s">
        <v>10</v>
      </c>
      <c r="D489" t="s">
        <v>16</v>
      </c>
      <c r="E489">
        <v>828</v>
      </c>
      <c r="F489">
        <v>28</v>
      </c>
      <c r="G489">
        <v>48</v>
      </c>
      <c r="H489">
        <v>800</v>
      </c>
      <c r="I489">
        <v>3.381642512077295</v>
      </c>
      <c r="J489">
        <v>96.618357487922708</v>
      </c>
      <c r="K489" t="str">
        <f>_xlfn.XLOOKUP(tblProduction[[#This Row],[Product]],tblProducts[Product],tblProducts[Category],"Not Found")</f>
        <v>Standard</v>
      </c>
      <c r="L489">
        <f>_xlfn.XLOOKUP(tblProduction[[#This Row],[Product]],tblProducts[Product],tblProducts[Target_Units],"Not Found")</f>
        <v>1000</v>
      </c>
    </row>
    <row r="490" spans="1:12" x14ac:dyDescent="0.3">
      <c r="A490" s="1">
        <v>46077</v>
      </c>
      <c r="B490" t="s">
        <v>17</v>
      </c>
      <c r="C490" t="s">
        <v>12</v>
      </c>
      <c r="D490" t="s">
        <v>11</v>
      </c>
      <c r="E490">
        <v>801</v>
      </c>
      <c r="F490">
        <v>28</v>
      </c>
      <c r="G490">
        <v>23</v>
      </c>
      <c r="H490">
        <v>773</v>
      </c>
      <c r="I490">
        <v>3.4956304619225969</v>
      </c>
      <c r="J490">
        <v>96.504369538077412</v>
      </c>
      <c r="K490" t="str">
        <f>_xlfn.XLOOKUP(tblProduction[[#This Row],[Product]],tblProducts[Product],tblProducts[Category],"Not Found")</f>
        <v>Precision</v>
      </c>
      <c r="L490">
        <f>_xlfn.XLOOKUP(tblProduction[[#This Row],[Product]],tblProducts[Product],tblProducts[Target_Units],"Not Found")</f>
        <v>950</v>
      </c>
    </row>
    <row r="491" spans="1:12" x14ac:dyDescent="0.3">
      <c r="A491" s="1">
        <v>46077</v>
      </c>
      <c r="B491" t="s">
        <v>17</v>
      </c>
      <c r="C491" t="s">
        <v>13</v>
      </c>
      <c r="D491" t="s">
        <v>14</v>
      </c>
      <c r="E491">
        <v>606</v>
      </c>
      <c r="F491">
        <v>32</v>
      </c>
      <c r="G491">
        <v>57</v>
      </c>
      <c r="H491">
        <v>574</v>
      </c>
      <c r="I491">
        <v>5.2805280528052796</v>
      </c>
      <c r="J491">
        <v>94.71947194719472</v>
      </c>
      <c r="K491" t="str">
        <f>_xlfn.XLOOKUP(tblProduction[[#This Row],[Product]],tblProducts[Product],tblProducts[Category],"Not Found")</f>
        <v>Assembly</v>
      </c>
      <c r="L491">
        <f>_xlfn.XLOOKUP(tblProduction[[#This Row],[Product]],tblProducts[Product],tblProducts[Target_Units],"Not Found")</f>
        <v>850</v>
      </c>
    </row>
    <row r="492" spans="1:12" x14ac:dyDescent="0.3">
      <c r="A492" s="1">
        <v>46078</v>
      </c>
      <c r="B492" t="s">
        <v>9</v>
      </c>
      <c r="C492" t="s">
        <v>10</v>
      </c>
      <c r="D492" t="s">
        <v>16</v>
      </c>
      <c r="E492">
        <v>910</v>
      </c>
      <c r="F492">
        <v>13</v>
      </c>
      <c r="G492">
        <v>78</v>
      </c>
      <c r="H492">
        <v>897</v>
      </c>
      <c r="I492">
        <v>1.428571428571429</v>
      </c>
      <c r="J492">
        <v>98.571428571428584</v>
      </c>
      <c r="K492" t="str">
        <f>_xlfn.XLOOKUP(tblProduction[[#This Row],[Product]],tblProducts[Product],tblProducts[Category],"Not Found")</f>
        <v>Standard</v>
      </c>
      <c r="L492">
        <f>_xlfn.XLOOKUP(tblProduction[[#This Row],[Product]],tblProducts[Product],tblProducts[Target_Units],"Not Found")</f>
        <v>1000</v>
      </c>
    </row>
    <row r="493" spans="1:12" x14ac:dyDescent="0.3">
      <c r="A493" s="1">
        <v>46078</v>
      </c>
      <c r="B493" t="s">
        <v>9</v>
      </c>
      <c r="C493" t="s">
        <v>12</v>
      </c>
      <c r="D493" t="s">
        <v>14</v>
      </c>
      <c r="E493">
        <v>744</v>
      </c>
      <c r="F493">
        <v>17</v>
      </c>
      <c r="G493">
        <v>77</v>
      </c>
      <c r="H493">
        <v>727</v>
      </c>
      <c r="I493">
        <v>2.28494623655914</v>
      </c>
      <c r="J493">
        <v>97.715053763440864</v>
      </c>
      <c r="K493" t="str">
        <f>_xlfn.XLOOKUP(tblProduction[[#This Row],[Product]],tblProducts[Product],tblProducts[Category],"Not Found")</f>
        <v>Assembly</v>
      </c>
      <c r="L493">
        <f>_xlfn.XLOOKUP(tblProduction[[#This Row],[Product]],tblProducts[Product],tblProducts[Target_Units],"Not Found")</f>
        <v>850</v>
      </c>
    </row>
    <row r="494" spans="1:12" x14ac:dyDescent="0.3">
      <c r="A494" s="1">
        <v>46078</v>
      </c>
      <c r="B494" t="s">
        <v>9</v>
      </c>
      <c r="C494" t="s">
        <v>13</v>
      </c>
      <c r="D494" t="s">
        <v>11</v>
      </c>
      <c r="E494">
        <v>854</v>
      </c>
      <c r="F494">
        <v>21</v>
      </c>
      <c r="G494">
        <v>26</v>
      </c>
      <c r="H494">
        <v>833</v>
      </c>
      <c r="I494">
        <v>2.459016393442623</v>
      </c>
      <c r="J494">
        <v>97.540983606557376</v>
      </c>
      <c r="K494" t="str">
        <f>_xlfn.XLOOKUP(tblProduction[[#This Row],[Product]],tblProducts[Product],tblProducts[Category],"Not Found")</f>
        <v>Precision</v>
      </c>
      <c r="L494">
        <f>_xlfn.XLOOKUP(tblProduction[[#This Row],[Product]],tblProducts[Product],tblProducts[Target_Units],"Not Found")</f>
        <v>950</v>
      </c>
    </row>
    <row r="495" spans="1:12" x14ac:dyDescent="0.3">
      <c r="A495" s="1">
        <v>46078</v>
      </c>
      <c r="B495" t="s">
        <v>15</v>
      </c>
      <c r="C495" t="s">
        <v>10</v>
      </c>
      <c r="D495" t="s">
        <v>14</v>
      </c>
      <c r="E495">
        <v>788</v>
      </c>
      <c r="F495">
        <v>26</v>
      </c>
      <c r="G495">
        <v>30</v>
      </c>
      <c r="H495">
        <v>762</v>
      </c>
      <c r="I495">
        <v>3.2994923857868019</v>
      </c>
      <c r="J495">
        <v>96.700507614213194</v>
      </c>
      <c r="K495" t="str">
        <f>_xlfn.XLOOKUP(tblProduction[[#This Row],[Product]],tblProducts[Product],tblProducts[Category],"Not Found")</f>
        <v>Assembly</v>
      </c>
      <c r="L495">
        <f>_xlfn.XLOOKUP(tblProduction[[#This Row],[Product]],tblProducts[Product],tblProducts[Target_Units],"Not Found")</f>
        <v>850</v>
      </c>
    </row>
    <row r="496" spans="1:12" x14ac:dyDescent="0.3">
      <c r="A496" s="1">
        <v>46078</v>
      </c>
      <c r="B496" t="s">
        <v>15</v>
      </c>
      <c r="C496" t="s">
        <v>12</v>
      </c>
      <c r="D496" t="s">
        <v>16</v>
      </c>
      <c r="E496">
        <v>815</v>
      </c>
      <c r="F496">
        <v>20</v>
      </c>
      <c r="G496">
        <v>89</v>
      </c>
      <c r="H496">
        <v>795</v>
      </c>
      <c r="I496">
        <v>2.4539877300613502</v>
      </c>
      <c r="J496">
        <v>97.546012269938657</v>
      </c>
      <c r="K496" t="str">
        <f>_xlfn.XLOOKUP(tblProduction[[#This Row],[Product]],tblProducts[Product],tblProducts[Category],"Not Found")</f>
        <v>Standard</v>
      </c>
      <c r="L496">
        <f>_xlfn.XLOOKUP(tblProduction[[#This Row],[Product]],tblProducts[Product],tblProducts[Target_Units],"Not Found")</f>
        <v>1000</v>
      </c>
    </row>
    <row r="497" spans="1:12" x14ac:dyDescent="0.3">
      <c r="A497" s="1">
        <v>46078</v>
      </c>
      <c r="B497" t="s">
        <v>15</v>
      </c>
      <c r="C497" t="s">
        <v>13</v>
      </c>
      <c r="D497" t="s">
        <v>16</v>
      </c>
      <c r="E497">
        <v>848</v>
      </c>
      <c r="F497">
        <v>29</v>
      </c>
      <c r="G497">
        <v>11</v>
      </c>
      <c r="H497">
        <v>819</v>
      </c>
      <c r="I497">
        <v>3.4198113207547172</v>
      </c>
      <c r="J497">
        <v>96.580188679245282</v>
      </c>
      <c r="K497" t="str">
        <f>_xlfn.XLOOKUP(tblProduction[[#This Row],[Product]],tblProducts[Product],tblProducts[Category],"Not Found")</f>
        <v>Standard</v>
      </c>
      <c r="L497">
        <f>_xlfn.XLOOKUP(tblProduction[[#This Row],[Product]],tblProducts[Product],tblProducts[Target_Units],"Not Found")</f>
        <v>1000</v>
      </c>
    </row>
    <row r="498" spans="1:12" x14ac:dyDescent="0.3">
      <c r="A498" s="1">
        <v>46078</v>
      </c>
      <c r="B498" t="s">
        <v>17</v>
      </c>
      <c r="C498" t="s">
        <v>10</v>
      </c>
      <c r="D498" t="s">
        <v>16</v>
      </c>
      <c r="E498">
        <v>914</v>
      </c>
      <c r="F498">
        <v>31</v>
      </c>
      <c r="G498">
        <v>1</v>
      </c>
      <c r="H498">
        <v>883</v>
      </c>
      <c r="I498">
        <v>3.391684901531729</v>
      </c>
      <c r="J498">
        <v>96.608315098468267</v>
      </c>
      <c r="K498" t="str">
        <f>_xlfn.XLOOKUP(tblProduction[[#This Row],[Product]],tblProducts[Product],tblProducts[Category],"Not Found")</f>
        <v>Standard</v>
      </c>
      <c r="L498">
        <f>_xlfn.XLOOKUP(tblProduction[[#This Row],[Product]],tblProducts[Product],tblProducts[Target_Units],"Not Found")</f>
        <v>1000</v>
      </c>
    </row>
    <row r="499" spans="1:12" x14ac:dyDescent="0.3">
      <c r="A499" s="1">
        <v>46078</v>
      </c>
      <c r="B499" t="s">
        <v>17</v>
      </c>
      <c r="C499" t="s">
        <v>12</v>
      </c>
      <c r="D499" t="s">
        <v>14</v>
      </c>
      <c r="E499">
        <v>650</v>
      </c>
      <c r="F499">
        <v>27</v>
      </c>
      <c r="G499">
        <v>39</v>
      </c>
      <c r="H499">
        <v>623</v>
      </c>
      <c r="I499">
        <v>4.1538461538461542</v>
      </c>
      <c r="J499">
        <v>95.846153846153854</v>
      </c>
      <c r="K499" t="str">
        <f>_xlfn.XLOOKUP(tblProduction[[#This Row],[Product]],tblProducts[Product],tblProducts[Category],"Not Found")</f>
        <v>Assembly</v>
      </c>
      <c r="L499">
        <f>_xlfn.XLOOKUP(tblProduction[[#This Row],[Product]],tblProducts[Product],tblProducts[Target_Units],"Not Found")</f>
        <v>850</v>
      </c>
    </row>
    <row r="500" spans="1:12" x14ac:dyDescent="0.3">
      <c r="A500" s="1">
        <v>46078</v>
      </c>
      <c r="B500" t="s">
        <v>17</v>
      </c>
      <c r="C500" t="s">
        <v>13</v>
      </c>
      <c r="D500" t="s">
        <v>14</v>
      </c>
      <c r="E500">
        <v>574</v>
      </c>
      <c r="F500">
        <v>30</v>
      </c>
      <c r="G500">
        <v>80</v>
      </c>
      <c r="H500">
        <v>544</v>
      </c>
      <c r="I500">
        <v>5.2264808362369326</v>
      </c>
      <c r="J500">
        <v>94.773519163763069</v>
      </c>
      <c r="K500" t="str">
        <f>_xlfn.XLOOKUP(tblProduction[[#This Row],[Product]],tblProducts[Product],tblProducts[Category],"Not Found")</f>
        <v>Assembly</v>
      </c>
      <c r="L500">
        <f>_xlfn.XLOOKUP(tblProduction[[#This Row],[Product]],tblProducts[Product],tblProducts[Target_Units],"Not Found")</f>
        <v>850</v>
      </c>
    </row>
    <row r="501" spans="1:12" x14ac:dyDescent="0.3">
      <c r="A501" s="1">
        <v>46079</v>
      </c>
      <c r="B501" t="s">
        <v>9</v>
      </c>
      <c r="C501" t="s">
        <v>10</v>
      </c>
      <c r="D501" t="s">
        <v>16</v>
      </c>
      <c r="E501">
        <v>957</v>
      </c>
      <c r="F501">
        <v>14</v>
      </c>
      <c r="G501">
        <v>66</v>
      </c>
      <c r="H501">
        <v>943</v>
      </c>
      <c r="I501">
        <v>1.462904911180773</v>
      </c>
      <c r="J501">
        <v>98.537095088819228</v>
      </c>
      <c r="K501" t="str">
        <f>_xlfn.XLOOKUP(tblProduction[[#This Row],[Product]],tblProducts[Product],tblProducts[Category],"Not Found")</f>
        <v>Standard</v>
      </c>
      <c r="L501">
        <f>_xlfn.XLOOKUP(tblProduction[[#This Row],[Product]],tblProducts[Product],tblProducts[Target_Units],"Not Found")</f>
        <v>1000</v>
      </c>
    </row>
    <row r="502" spans="1:12" x14ac:dyDescent="0.3">
      <c r="A502" s="1">
        <v>46079</v>
      </c>
      <c r="B502" t="s">
        <v>9</v>
      </c>
      <c r="C502" t="s">
        <v>12</v>
      </c>
      <c r="D502" t="s">
        <v>18</v>
      </c>
      <c r="E502">
        <v>915</v>
      </c>
      <c r="F502">
        <v>13</v>
      </c>
      <c r="G502">
        <v>40</v>
      </c>
      <c r="H502">
        <v>902</v>
      </c>
      <c r="I502">
        <v>1.420765027322404</v>
      </c>
      <c r="J502">
        <v>98.579234972677597</v>
      </c>
      <c r="K502" t="str">
        <f>_xlfn.XLOOKUP(tblProduction[[#This Row],[Product]],tblProducts[Product],tblProducts[Category],"Not Found")</f>
        <v>Assembly</v>
      </c>
      <c r="L502">
        <f>_xlfn.XLOOKUP(tblProduction[[#This Row],[Product]],tblProducts[Product],tblProducts[Target_Units],"Not Found")</f>
        <v>900</v>
      </c>
    </row>
    <row r="503" spans="1:12" x14ac:dyDescent="0.3">
      <c r="A503" s="1">
        <v>46079</v>
      </c>
      <c r="B503" t="s">
        <v>9</v>
      </c>
      <c r="C503" t="s">
        <v>13</v>
      </c>
      <c r="D503" t="s">
        <v>14</v>
      </c>
      <c r="E503">
        <v>696</v>
      </c>
      <c r="F503">
        <v>22</v>
      </c>
      <c r="G503">
        <v>87</v>
      </c>
      <c r="H503">
        <v>674</v>
      </c>
      <c r="I503">
        <v>3.160919540229886</v>
      </c>
      <c r="J503">
        <v>96.839080459770116</v>
      </c>
      <c r="K503" t="str">
        <f>_xlfn.XLOOKUP(tblProduction[[#This Row],[Product]],tblProducts[Product],tblProducts[Category],"Not Found")</f>
        <v>Assembly</v>
      </c>
      <c r="L503">
        <f>_xlfn.XLOOKUP(tblProduction[[#This Row],[Product]],tblProducts[Product],tblProducts[Target_Units],"Not Found")</f>
        <v>850</v>
      </c>
    </row>
    <row r="504" spans="1:12" x14ac:dyDescent="0.3">
      <c r="A504" s="1">
        <v>46079</v>
      </c>
      <c r="B504" t="s">
        <v>15</v>
      </c>
      <c r="C504" t="s">
        <v>10</v>
      </c>
      <c r="D504" t="s">
        <v>18</v>
      </c>
      <c r="E504">
        <v>821</v>
      </c>
      <c r="F504">
        <v>20</v>
      </c>
      <c r="G504">
        <v>77</v>
      </c>
      <c r="H504">
        <v>801</v>
      </c>
      <c r="I504">
        <v>2.4360535931790501</v>
      </c>
      <c r="J504">
        <v>97.563946406820946</v>
      </c>
      <c r="K504" t="str">
        <f>_xlfn.XLOOKUP(tblProduction[[#This Row],[Product]],tblProducts[Product],tblProducts[Category],"Not Found")</f>
        <v>Assembly</v>
      </c>
      <c r="L504">
        <f>_xlfn.XLOOKUP(tblProduction[[#This Row],[Product]],tblProducts[Product],tblProducts[Target_Units],"Not Found")</f>
        <v>900</v>
      </c>
    </row>
    <row r="505" spans="1:12" x14ac:dyDescent="0.3">
      <c r="A505" s="1">
        <v>46079</v>
      </c>
      <c r="B505" t="s">
        <v>15</v>
      </c>
      <c r="C505" t="s">
        <v>12</v>
      </c>
      <c r="D505" t="s">
        <v>14</v>
      </c>
      <c r="E505">
        <v>719</v>
      </c>
      <c r="F505">
        <v>23</v>
      </c>
      <c r="G505">
        <v>88</v>
      </c>
      <c r="H505">
        <v>696</v>
      </c>
      <c r="I505">
        <v>3.198887343532685</v>
      </c>
      <c r="J505">
        <v>96.801112656467311</v>
      </c>
      <c r="K505" t="str">
        <f>_xlfn.XLOOKUP(tblProduction[[#This Row],[Product]],tblProducts[Product],tblProducts[Category],"Not Found")</f>
        <v>Assembly</v>
      </c>
      <c r="L505">
        <f>_xlfn.XLOOKUP(tblProduction[[#This Row],[Product]],tblProducts[Product],tblProducts[Target_Units],"Not Found")</f>
        <v>850</v>
      </c>
    </row>
    <row r="506" spans="1:12" x14ac:dyDescent="0.3">
      <c r="A506" s="1">
        <v>46079</v>
      </c>
      <c r="B506" t="s">
        <v>15</v>
      </c>
      <c r="C506" t="s">
        <v>13</v>
      </c>
      <c r="D506" t="s">
        <v>16</v>
      </c>
      <c r="E506">
        <v>785</v>
      </c>
      <c r="F506">
        <v>27</v>
      </c>
      <c r="G506">
        <v>52</v>
      </c>
      <c r="H506">
        <v>758</v>
      </c>
      <c r="I506">
        <v>3.4394904458598732</v>
      </c>
      <c r="J506">
        <v>96.560509554140125</v>
      </c>
      <c r="K506" t="str">
        <f>_xlfn.XLOOKUP(tblProduction[[#This Row],[Product]],tblProducts[Product],tblProducts[Category],"Not Found")</f>
        <v>Standard</v>
      </c>
      <c r="L506">
        <f>_xlfn.XLOOKUP(tblProduction[[#This Row],[Product]],tblProducts[Product],tblProducts[Target_Units],"Not Found")</f>
        <v>1000</v>
      </c>
    </row>
    <row r="507" spans="1:12" x14ac:dyDescent="0.3">
      <c r="A507" s="1">
        <v>46079</v>
      </c>
      <c r="B507" t="s">
        <v>17</v>
      </c>
      <c r="C507" t="s">
        <v>12</v>
      </c>
      <c r="D507" t="s">
        <v>16</v>
      </c>
      <c r="E507">
        <v>824</v>
      </c>
      <c r="F507">
        <v>28</v>
      </c>
      <c r="G507">
        <v>25</v>
      </c>
      <c r="H507">
        <v>796</v>
      </c>
      <c r="I507">
        <v>3.3980582524271838</v>
      </c>
      <c r="J507">
        <v>96.601941747572823</v>
      </c>
      <c r="K507" t="str">
        <f>_xlfn.XLOOKUP(tblProduction[[#This Row],[Product]],tblProducts[Product],tblProducts[Category],"Not Found")</f>
        <v>Standard</v>
      </c>
      <c r="L507">
        <f>_xlfn.XLOOKUP(tblProduction[[#This Row],[Product]],tblProducts[Product],tblProducts[Target_Units],"Not Found")</f>
        <v>1000</v>
      </c>
    </row>
    <row r="508" spans="1:12" x14ac:dyDescent="0.3">
      <c r="A508" s="1">
        <v>46079</v>
      </c>
      <c r="B508" t="s">
        <v>17</v>
      </c>
      <c r="C508" t="s">
        <v>13</v>
      </c>
      <c r="D508" t="s">
        <v>11</v>
      </c>
      <c r="E508">
        <v>703</v>
      </c>
      <c r="F508">
        <v>31</v>
      </c>
      <c r="G508">
        <v>14</v>
      </c>
      <c r="H508">
        <v>672</v>
      </c>
      <c r="I508">
        <v>4.4096728307254622</v>
      </c>
      <c r="J508">
        <v>95.590327169274531</v>
      </c>
      <c r="K508" t="str">
        <f>_xlfn.XLOOKUP(tblProduction[[#This Row],[Product]],tblProducts[Product],tblProducts[Category],"Not Found")</f>
        <v>Precision</v>
      </c>
      <c r="L508">
        <f>_xlfn.XLOOKUP(tblProduction[[#This Row],[Product]],tblProducts[Product],tblProducts[Target_Units],"Not Found")</f>
        <v>950</v>
      </c>
    </row>
    <row r="509" spans="1:12" x14ac:dyDescent="0.3">
      <c r="A509" s="1">
        <v>46080</v>
      </c>
      <c r="B509" t="s">
        <v>9</v>
      </c>
      <c r="C509" t="s">
        <v>10</v>
      </c>
      <c r="D509" t="s">
        <v>14</v>
      </c>
      <c r="E509">
        <v>908</v>
      </c>
      <c r="F509">
        <v>20</v>
      </c>
      <c r="G509">
        <v>44</v>
      </c>
      <c r="H509">
        <v>888</v>
      </c>
      <c r="I509">
        <v>2.2026431718061681</v>
      </c>
      <c r="J509">
        <v>97.797356828193841</v>
      </c>
      <c r="K509" t="str">
        <f>_xlfn.XLOOKUP(tblProduction[[#This Row],[Product]],tblProducts[Product],tblProducts[Category],"Not Found")</f>
        <v>Assembly</v>
      </c>
      <c r="L509">
        <f>_xlfn.XLOOKUP(tblProduction[[#This Row],[Product]],tblProducts[Product],tblProducts[Target_Units],"Not Found")</f>
        <v>850</v>
      </c>
    </row>
    <row r="510" spans="1:12" x14ac:dyDescent="0.3">
      <c r="A510" s="1">
        <v>46080</v>
      </c>
      <c r="B510" t="s">
        <v>9</v>
      </c>
      <c r="C510" t="s">
        <v>12</v>
      </c>
      <c r="D510" t="s">
        <v>11</v>
      </c>
      <c r="E510">
        <v>835</v>
      </c>
      <c r="F510">
        <v>12</v>
      </c>
      <c r="G510">
        <v>72</v>
      </c>
      <c r="H510">
        <v>823</v>
      </c>
      <c r="I510">
        <v>1.437125748502994</v>
      </c>
      <c r="J510">
        <v>98.562874251497007</v>
      </c>
      <c r="K510" t="str">
        <f>_xlfn.XLOOKUP(tblProduction[[#This Row],[Product]],tblProducts[Product],tblProducts[Category],"Not Found")</f>
        <v>Precision</v>
      </c>
      <c r="L510">
        <f>_xlfn.XLOOKUP(tblProduction[[#This Row],[Product]],tblProducts[Product],tblProducts[Target_Units],"Not Found")</f>
        <v>950</v>
      </c>
    </row>
    <row r="511" spans="1:12" x14ac:dyDescent="0.3">
      <c r="A511" s="1">
        <v>46080</v>
      </c>
      <c r="B511" t="s">
        <v>9</v>
      </c>
      <c r="C511" t="s">
        <v>13</v>
      </c>
      <c r="D511" t="s">
        <v>14</v>
      </c>
      <c r="E511">
        <v>821</v>
      </c>
      <c r="F511">
        <v>27</v>
      </c>
      <c r="G511">
        <v>4</v>
      </c>
      <c r="H511">
        <v>794</v>
      </c>
      <c r="I511">
        <v>3.288672350791717</v>
      </c>
      <c r="J511">
        <v>96.711327649208272</v>
      </c>
      <c r="K511" t="str">
        <f>_xlfn.XLOOKUP(tblProduction[[#This Row],[Product]],tblProducts[Product],tblProducts[Category],"Not Found")</f>
        <v>Assembly</v>
      </c>
      <c r="L511">
        <f>_xlfn.XLOOKUP(tblProduction[[#This Row],[Product]],tblProducts[Product],tblProducts[Target_Units],"Not Found")</f>
        <v>850</v>
      </c>
    </row>
    <row r="512" spans="1:12" x14ac:dyDescent="0.3">
      <c r="A512" s="1">
        <v>46080</v>
      </c>
      <c r="B512" t="s">
        <v>15</v>
      </c>
      <c r="C512" t="s">
        <v>10</v>
      </c>
      <c r="D512" t="s">
        <v>18</v>
      </c>
      <c r="E512">
        <v>898</v>
      </c>
      <c r="F512">
        <v>22</v>
      </c>
      <c r="G512">
        <v>24</v>
      </c>
      <c r="H512">
        <v>876</v>
      </c>
      <c r="I512">
        <v>2.4498886414253902</v>
      </c>
      <c r="J512">
        <v>97.550111358574611</v>
      </c>
      <c r="K512" t="str">
        <f>_xlfn.XLOOKUP(tblProduction[[#This Row],[Product]],tblProducts[Product],tblProducts[Category],"Not Found")</f>
        <v>Assembly</v>
      </c>
      <c r="L512">
        <f>_xlfn.XLOOKUP(tblProduction[[#This Row],[Product]],tblProducts[Product],tblProducts[Target_Units],"Not Found")</f>
        <v>900</v>
      </c>
    </row>
    <row r="513" spans="1:12" x14ac:dyDescent="0.3">
      <c r="A513" s="1">
        <v>46080</v>
      </c>
      <c r="B513" t="s">
        <v>15</v>
      </c>
      <c r="C513" t="s">
        <v>12</v>
      </c>
      <c r="D513" t="s">
        <v>16</v>
      </c>
      <c r="E513">
        <v>843</v>
      </c>
      <c r="F513">
        <v>21</v>
      </c>
      <c r="G513">
        <v>83</v>
      </c>
      <c r="H513">
        <v>822</v>
      </c>
      <c r="I513">
        <v>2.4911032028469751</v>
      </c>
      <c r="J513">
        <v>97.508896797153028</v>
      </c>
      <c r="K513" t="str">
        <f>_xlfn.XLOOKUP(tblProduction[[#This Row],[Product]],tblProducts[Product],tblProducts[Category],"Not Found")</f>
        <v>Standard</v>
      </c>
      <c r="L513">
        <f>_xlfn.XLOOKUP(tblProduction[[#This Row],[Product]],tblProducts[Product],tblProducts[Target_Units],"Not Found")</f>
        <v>1000</v>
      </c>
    </row>
    <row r="514" spans="1:12" x14ac:dyDescent="0.3">
      <c r="A514" s="1">
        <v>46080</v>
      </c>
      <c r="B514" t="s">
        <v>15</v>
      </c>
      <c r="C514" t="s">
        <v>13</v>
      </c>
      <c r="D514" t="s">
        <v>14</v>
      </c>
      <c r="E514">
        <v>719</v>
      </c>
      <c r="F514">
        <v>30</v>
      </c>
      <c r="G514">
        <v>37</v>
      </c>
      <c r="H514">
        <v>689</v>
      </c>
      <c r="I514">
        <v>4.1724617524339358</v>
      </c>
      <c r="J514">
        <v>95.827538247566068</v>
      </c>
      <c r="K514" t="str">
        <f>_xlfn.XLOOKUP(tblProduction[[#This Row],[Product]],tblProducts[Product],tblProducts[Category],"Not Found")</f>
        <v>Assembly</v>
      </c>
      <c r="L514">
        <f>_xlfn.XLOOKUP(tblProduction[[#This Row],[Product]],tblProducts[Product],tblProducts[Target_Units],"Not Found")</f>
        <v>850</v>
      </c>
    </row>
    <row r="515" spans="1:12" x14ac:dyDescent="0.3">
      <c r="A515" s="1">
        <v>46080</v>
      </c>
      <c r="B515" t="s">
        <v>17</v>
      </c>
      <c r="C515" t="s">
        <v>10</v>
      </c>
      <c r="D515" t="s">
        <v>16</v>
      </c>
      <c r="E515">
        <v>803</v>
      </c>
      <c r="F515">
        <v>28</v>
      </c>
      <c r="G515">
        <v>45</v>
      </c>
      <c r="H515">
        <v>775</v>
      </c>
      <c r="I515">
        <v>3.486924034869241</v>
      </c>
      <c r="J515">
        <v>96.513075965130753</v>
      </c>
      <c r="K515" t="str">
        <f>_xlfn.XLOOKUP(tblProduction[[#This Row],[Product]],tblProducts[Product],tblProducts[Category],"Not Found")</f>
        <v>Standard</v>
      </c>
      <c r="L515">
        <f>_xlfn.XLOOKUP(tblProduction[[#This Row],[Product]],tblProducts[Product],tblProducts[Target_Units],"Not Found")</f>
        <v>1000</v>
      </c>
    </row>
    <row r="516" spans="1:12" x14ac:dyDescent="0.3">
      <c r="A516" s="1">
        <v>46080</v>
      </c>
      <c r="B516" t="s">
        <v>17</v>
      </c>
      <c r="C516" t="s">
        <v>12</v>
      </c>
      <c r="D516" t="s">
        <v>11</v>
      </c>
      <c r="E516">
        <v>768</v>
      </c>
      <c r="F516">
        <v>26</v>
      </c>
      <c r="G516">
        <v>4</v>
      </c>
      <c r="H516">
        <v>742</v>
      </c>
      <c r="I516">
        <v>3.385416666666667</v>
      </c>
      <c r="J516">
        <v>96.614583333333343</v>
      </c>
      <c r="K516" t="str">
        <f>_xlfn.XLOOKUP(tblProduction[[#This Row],[Product]],tblProducts[Product],tblProducts[Category],"Not Found")</f>
        <v>Precision</v>
      </c>
      <c r="L516">
        <f>_xlfn.XLOOKUP(tblProduction[[#This Row],[Product]],tblProducts[Product],tblProducts[Target_Units],"Not Found")</f>
        <v>950</v>
      </c>
    </row>
    <row r="517" spans="1:12" x14ac:dyDescent="0.3">
      <c r="A517" s="1">
        <v>46080</v>
      </c>
      <c r="B517" t="s">
        <v>17</v>
      </c>
      <c r="C517" t="s">
        <v>13</v>
      </c>
      <c r="D517" t="s">
        <v>18</v>
      </c>
      <c r="E517">
        <v>703</v>
      </c>
      <c r="F517">
        <v>31</v>
      </c>
      <c r="G517">
        <v>4</v>
      </c>
      <c r="H517">
        <v>672</v>
      </c>
      <c r="I517">
        <v>4.4096728307254622</v>
      </c>
      <c r="J517">
        <v>95.590327169274531</v>
      </c>
      <c r="K517" t="str">
        <f>_xlfn.XLOOKUP(tblProduction[[#This Row],[Product]],tblProducts[Product],tblProducts[Category],"Not Found")</f>
        <v>Assembly</v>
      </c>
      <c r="L517">
        <f>_xlfn.XLOOKUP(tblProduction[[#This Row],[Product]],tblProducts[Product],tblProducts[Target_Units],"Not Found")</f>
        <v>900</v>
      </c>
    </row>
    <row r="518" spans="1:12" x14ac:dyDescent="0.3">
      <c r="A518" s="1">
        <v>46081</v>
      </c>
      <c r="B518" t="s">
        <v>9</v>
      </c>
      <c r="C518" t="s">
        <v>10</v>
      </c>
      <c r="D518" t="s">
        <v>11</v>
      </c>
      <c r="E518">
        <v>957</v>
      </c>
      <c r="F518">
        <v>14</v>
      </c>
      <c r="G518">
        <v>23</v>
      </c>
      <c r="H518">
        <v>943</v>
      </c>
      <c r="I518">
        <v>1.462904911180773</v>
      </c>
      <c r="J518">
        <v>98.537095088819228</v>
      </c>
      <c r="K518" t="str">
        <f>_xlfn.XLOOKUP(tblProduction[[#This Row],[Product]],tblProducts[Product],tblProducts[Category],"Not Found")</f>
        <v>Precision</v>
      </c>
      <c r="L518">
        <f>_xlfn.XLOOKUP(tblProduction[[#This Row],[Product]],tblProducts[Product],tblProducts[Target_Units],"Not Found")</f>
        <v>950</v>
      </c>
    </row>
    <row r="519" spans="1:12" x14ac:dyDescent="0.3">
      <c r="A519" s="1">
        <v>46081</v>
      </c>
      <c r="B519" t="s">
        <v>9</v>
      </c>
      <c r="C519" t="s">
        <v>13</v>
      </c>
      <c r="D519" t="s">
        <v>16</v>
      </c>
      <c r="E519">
        <v>934</v>
      </c>
      <c r="F519">
        <v>23</v>
      </c>
      <c r="G519">
        <v>44</v>
      </c>
      <c r="H519">
        <v>911</v>
      </c>
      <c r="I519">
        <v>2.462526766595289</v>
      </c>
      <c r="J519">
        <v>97.537473233404711</v>
      </c>
      <c r="K519" t="str">
        <f>_xlfn.XLOOKUP(tblProduction[[#This Row],[Product]],tblProducts[Product],tblProducts[Category],"Not Found")</f>
        <v>Standard</v>
      </c>
      <c r="L519">
        <f>_xlfn.XLOOKUP(tblProduction[[#This Row],[Product]],tblProducts[Product],tblProducts[Target_Units],"Not Found")</f>
        <v>1000</v>
      </c>
    </row>
    <row r="520" spans="1:12" x14ac:dyDescent="0.3">
      <c r="A520" s="1">
        <v>46081</v>
      </c>
      <c r="B520" t="s">
        <v>15</v>
      </c>
      <c r="C520" t="s">
        <v>10</v>
      </c>
      <c r="D520" t="s">
        <v>16</v>
      </c>
      <c r="E520">
        <v>861</v>
      </c>
      <c r="F520">
        <v>21</v>
      </c>
      <c r="G520">
        <v>60</v>
      </c>
      <c r="H520">
        <v>840</v>
      </c>
      <c r="I520">
        <v>2.4390243902439019</v>
      </c>
      <c r="J520">
        <v>97.560975609756099</v>
      </c>
      <c r="K520" t="str">
        <f>_xlfn.XLOOKUP(tblProduction[[#This Row],[Product]],tblProducts[Product],tblProducts[Category],"Not Found")</f>
        <v>Standard</v>
      </c>
      <c r="L520">
        <f>_xlfn.XLOOKUP(tblProduction[[#This Row],[Product]],tblProducts[Product],tblProducts[Target_Units],"Not Found")</f>
        <v>1000</v>
      </c>
    </row>
    <row r="521" spans="1:12" x14ac:dyDescent="0.3">
      <c r="A521" s="1">
        <v>46081</v>
      </c>
      <c r="B521" t="s">
        <v>15</v>
      </c>
      <c r="C521" t="s">
        <v>12</v>
      </c>
      <c r="D521" t="s">
        <v>14</v>
      </c>
      <c r="E521">
        <v>721</v>
      </c>
      <c r="F521">
        <v>23</v>
      </c>
      <c r="G521">
        <v>51</v>
      </c>
      <c r="H521">
        <v>698</v>
      </c>
      <c r="I521">
        <v>3.19001386962552</v>
      </c>
      <c r="J521">
        <v>96.809986130374483</v>
      </c>
      <c r="K521" t="str">
        <f>_xlfn.XLOOKUP(tblProduction[[#This Row],[Product]],tblProducts[Product],tblProducts[Category],"Not Found")</f>
        <v>Assembly</v>
      </c>
      <c r="L521">
        <f>_xlfn.XLOOKUP(tblProduction[[#This Row],[Product]],tblProducts[Product],tblProducts[Target_Units],"Not Found")</f>
        <v>850</v>
      </c>
    </row>
    <row r="522" spans="1:12" x14ac:dyDescent="0.3">
      <c r="A522" s="1">
        <v>46081</v>
      </c>
      <c r="B522" t="s">
        <v>15</v>
      </c>
      <c r="C522" t="s">
        <v>13</v>
      </c>
      <c r="D522" t="s">
        <v>14</v>
      </c>
      <c r="E522">
        <v>639</v>
      </c>
      <c r="F522">
        <v>27</v>
      </c>
      <c r="G522">
        <v>77</v>
      </c>
      <c r="H522">
        <v>612</v>
      </c>
      <c r="I522">
        <v>4.225352112676056</v>
      </c>
      <c r="J522">
        <v>95.774647887323937</v>
      </c>
      <c r="K522" t="str">
        <f>_xlfn.XLOOKUP(tblProduction[[#This Row],[Product]],tblProducts[Product],tblProducts[Category],"Not Found")</f>
        <v>Assembly</v>
      </c>
      <c r="L522">
        <f>_xlfn.XLOOKUP(tblProduction[[#This Row],[Product]],tblProducts[Product],tblProducts[Target_Units],"Not Found")</f>
        <v>850</v>
      </c>
    </row>
    <row r="523" spans="1:12" x14ac:dyDescent="0.3">
      <c r="A523" s="1">
        <v>46081</v>
      </c>
      <c r="B523" t="s">
        <v>17</v>
      </c>
      <c r="C523" t="s">
        <v>10</v>
      </c>
      <c r="D523" t="s">
        <v>16</v>
      </c>
      <c r="E523">
        <v>846</v>
      </c>
      <c r="F523">
        <v>29</v>
      </c>
      <c r="G523">
        <v>62</v>
      </c>
      <c r="H523">
        <v>817</v>
      </c>
      <c r="I523">
        <v>3.4278959810874712</v>
      </c>
      <c r="J523">
        <v>96.572104018912526</v>
      </c>
      <c r="K523" t="str">
        <f>_xlfn.XLOOKUP(tblProduction[[#This Row],[Product]],tblProducts[Product],tblProducts[Category],"Not Found")</f>
        <v>Standard</v>
      </c>
      <c r="L523">
        <f>_xlfn.XLOOKUP(tblProduction[[#This Row],[Product]],tblProducts[Product],tblProducts[Target_Units],"Not Found")</f>
        <v>1000</v>
      </c>
    </row>
    <row r="524" spans="1:12" x14ac:dyDescent="0.3">
      <c r="A524" s="1">
        <v>46081</v>
      </c>
      <c r="B524" t="s">
        <v>17</v>
      </c>
      <c r="C524" t="s">
        <v>12</v>
      </c>
      <c r="D524" t="s">
        <v>11</v>
      </c>
      <c r="E524">
        <v>793</v>
      </c>
      <c r="F524">
        <v>27</v>
      </c>
      <c r="G524">
        <v>7</v>
      </c>
      <c r="H524">
        <v>766</v>
      </c>
      <c r="I524">
        <v>3.404791929382093</v>
      </c>
      <c r="J524">
        <v>96.595208070617915</v>
      </c>
      <c r="K524" t="str">
        <f>_xlfn.XLOOKUP(tblProduction[[#This Row],[Product]],tblProducts[Product],tblProducts[Category],"Not Found")</f>
        <v>Precision</v>
      </c>
      <c r="L524">
        <f>_xlfn.XLOOKUP(tblProduction[[#This Row],[Product]],tblProducts[Product],tblProducts[Target_Units],"Not Found")</f>
        <v>950</v>
      </c>
    </row>
    <row r="525" spans="1:12" x14ac:dyDescent="0.3">
      <c r="A525" s="1">
        <v>46081</v>
      </c>
      <c r="B525" t="s">
        <v>17</v>
      </c>
      <c r="C525" t="s">
        <v>13</v>
      </c>
      <c r="D525" t="s">
        <v>16</v>
      </c>
      <c r="E525">
        <v>681</v>
      </c>
      <c r="F525">
        <v>30</v>
      </c>
      <c r="G525">
        <v>89</v>
      </c>
      <c r="H525">
        <v>651</v>
      </c>
      <c r="I525">
        <v>4.4052863436123353</v>
      </c>
      <c r="J525">
        <v>95.594713656387668</v>
      </c>
      <c r="K525" t="str">
        <f>_xlfn.XLOOKUP(tblProduction[[#This Row],[Product]],tblProducts[Product],tblProducts[Category],"Not Found")</f>
        <v>Standard</v>
      </c>
      <c r="L525">
        <f>_xlfn.XLOOKUP(tblProduction[[#This Row],[Product]],tblProducts[Product],tblProducts[Target_Units],"Not Found")</f>
        <v>1000</v>
      </c>
    </row>
    <row r="526" spans="1:12" x14ac:dyDescent="0.3">
      <c r="A526" s="1">
        <v>46082</v>
      </c>
      <c r="B526" t="s">
        <v>9</v>
      </c>
      <c r="C526" t="s">
        <v>10</v>
      </c>
      <c r="D526" t="s">
        <v>18</v>
      </c>
      <c r="E526">
        <v>945</v>
      </c>
      <c r="F526">
        <v>14</v>
      </c>
      <c r="G526">
        <v>4</v>
      </c>
      <c r="H526">
        <v>931</v>
      </c>
      <c r="I526">
        <v>1.4814814814814821</v>
      </c>
      <c r="J526">
        <v>98.518518518518519</v>
      </c>
      <c r="K526" t="str">
        <f>_xlfn.XLOOKUP(tblProduction[[#This Row],[Product]],tblProducts[Product],tblProducts[Category],"Not Found")</f>
        <v>Assembly</v>
      </c>
      <c r="L526">
        <f>_xlfn.XLOOKUP(tblProduction[[#This Row],[Product]],tblProducts[Product],tblProducts[Target_Units],"Not Found")</f>
        <v>900</v>
      </c>
    </row>
    <row r="527" spans="1:12" x14ac:dyDescent="0.3">
      <c r="A527" s="1">
        <v>46082</v>
      </c>
      <c r="B527" t="s">
        <v>9</v>
      </c>
      <c r="C527" t="s">
        <v>12</v>
      </c>
      <c r="D527" t="s">
        <v>14</v>
      </c>
      <c r="E527">
        <v>791</v>
      </c>
      <c r="F527">
        <v>18</v>
      </c>
      <c r="G527">
        <v>83</v>
      </c>
      <c r="H527">
        <v>773</v>
      </c>
      <c r="I527">
        <v>2.2756005056890012</v>
      </c>
      <c r="J527">
        <v>97.724399494311001</v>
      </c>
      <c r="K527" t="str">
        <f>_xlfn.XLOOKUP(tblProduction[[#This Row],[Product]],tblProducts[Product],tblProducts[Category],"Not Found")</f>
        <v>Assembly</v>
      </c>
      <c r="L527">
        <f>_xlfn.XLOOKUP(tblProduction[[#This Row],[Product]],tblProducts[Product],tblProducts[Target_Units],"Not Found")</f>
        <v>850</v>
      </c>
    </row>
    <row r="528" spans="1:12" x14ac:dyDescent="0.3">
      <c r="A528" s="1">
        <v>46082</v>
      </c>
      <c r="B528" t="s">
        <v>9</v>
      </c>
      <c r="C528" t="s">
        <v>13</v>
      </c>
      <c r="D528" t="s">
        <v>18</v>
      </c>
      <c r="E528">
        <v>823</v>
      </c>
      <c r="F528">
        <v>20</v>
      </c>
      <c r="G528">
        <v>55</v>
      </c>
      <c r="H528">
        <v>803</v>
      </c>
      <c r="I528">
        <v>2.4301336573511541</v>
      </c>
      <c r="J528">
        <v>97.569866342648851</v>
      </c>
      <c r="K528" t="str">
        <f>_xlfn.XLOOKUP(tblProduction[[#This Row],[Product]],tblProducts[Product],tblProducts[Category],"Not Found")</f>
        <v>Assembly</v>
      </c>
      <c r="L528">
        <f>_xlfn.XLOOKUP(tblProduction[[#This Row],[Product]],tblProducts[Product],tblProducts[Target_Units],"Not Found")</f>
        <v>900</v>
      </c>
    </row>
    <row r="529" spans="1:12" x14ac:dyDescent="0.3">
      <c r="A529" s="1">
        <v>46082</v>
      </c>
      <c r="B529" t="s">
        <v>15</v>
      </c>
      <c r="C529" t="s">
        <v>10</v>
      </c>
      <c r="D529" t="s">
        <v>11</v>
      </c>
      <c r="E529">
        <v>956</v>
      </c>
      <c r="F529">
        <v>23</v>
      </c>
      <c r="G529">
        <v>24</v>
      </c>
      <c r="H529">
        <v>933</v>
      </c>
      <c r="I529">
        <v>2.4058577405857742</v>
      </c>
      <c r="J529">
        <v>97.594142259414227</v>
      </c>
      <c r="K529" t="str">
        <f>_xlfn.XLOOKUP(tblProduction[[#This Row],[Product]],tblProducts[Product],tblProducts[Category],"Not Found")</f>
        <v>Precision</v>
      </c>
      <c r="L529">
        <f>_xlfn.XLOOKUP(tblProduction[[#This Row],[Product]],tblProducts[Product],tblProducts[Target_Units],"Not Found")</f>
        <v>950</v>
      </c>
    </row>
    <row r="530" spans="1:12" x14ac:dyDescent="0.3">
      <c r="A530" s="1">
        <v>46082</v>
      </c>
      <c r="B530" t="s">
        <v>15</v>
      </c>
      <c r="C530" t="s">
        <v>12</v>
      </c>
      <c r="D530" t="s">
        <v>14</v>
      </c>
      <c r="E530">
        <v>735</v>
      </c>
      <c r="F530">
        <v>24</v>
      </c>
      <c r="G530">
        <v>33</v>
      </c>
      <c r="H530">
        <v>711</v>
      </c>
      <c r="I530">
        <v>3.2653061224489801</v>
      </c>
      <c r="J530">
        <v>96.734693877551024</v>
      </c>
      <c r="K530" t="str">
        <f>_xlfn.XLOOKUP(tblProduction[[#This Row],[Product]],tblProducts[Product],tblProducts[Category],"Not Found")</f>
        <v>Assembly</v>
      </c>
      <c r="L530">
        <f>_xlfn.XLOOKUP(tblProduction[[#This Row],[Product]],tblProducts[Product],tblProducts[Target_Units],"Not Found")</f>
        <v>850</v>
      </c>
    </row>
    <row r="531" spans="1:12" x14ac:dyDescent="0.3">
      <c r="A531" s="1">
        <v>46082</v>
      </c>
      <c r="B531" t="s">
        <v>15</v>
      </c>
      <c r="C531" t="s">
        <v>13</v>
      </c>
      <c r="D531" t="s">
        <v>16</v>
      </c>
      <c r="E531">
        <v>777</v>
      </c>
      <c r="F531">
        <v>27</v>
      </c>
      <c r="G531">
        <v>65</v>
      </c>
      <c r="H531">
        <v>750</v>
      </c>
      <c r="I531">
        <v>3.4749034749034751</v>
      </c>
      <c r="J531">
        <v>96.525096525096515</v>
      </c>
      <c r="K531" t="str">
        <f>_xlfn.XLOOKUP(tblProduction[[#This Row],[Product]],tblProducts[Product],tblProducts[Category],"Not Found")</f>
        <v>Standard</v>
      </c>
      <c r="L531">
        <f>_xlfn.XLOOKUP(tblProduction[[#This Row],[Product]],tblProducts[Product],tblProducts[Target_Units],"Not Found")</f>
        <v>1000</v>
      </c>
    </row>
    <row r="532" spans="1:12" x14ac:dyDescent="0.3">
      <c r="A532" s="1">
        <v>46082</v>
      </c>
      <c r="B532" t="s">
        <v>17</v>
      </c>
      <c r="C532" t="s">
        <v>10</v>
      </c>
      <c r="D532" t="s">
        <v>14</v>
      </c>
      <c r="E532">
        <v>737</v>
      </c>
      <c r="F532">
        <v>31</v>
      </c>
      <c r="G532">
        <v>4</v>
      </c>
      <c r="H532">
        <v>706</v>
      </c>
      <c r="I532">
        <v>4.2062415196743546</v>
      </c>
      <c r="J532">
        <v>95.793758480325636</v>
      </c>
      <c r="K532" t="str">
        <f>_xlfn.XLOOKUP(tblProduction[[#This Row],[Product]],tblProducts[Product],tblProducts[Category],"Not Found")</f>
        <v>Assembly</v>
      </c>
      <c r="L532">
        <f>_xlfn.XLOOKUP(tblProduction[[#This Row],[Product]],tblProducts[Product],tblProducts[Target_Units],"Not Found")</f>
        <v>850</v>
      </c>
    </row>
    <row r="533" spans="1:12" x14ac:dyDescent="0.3">
      <c r="A533" s="1">
        <v>46082</v>
      </c>
      <c r="B533" t="s">
        <v>17</v>
      </c>
      <c r="C533" t="s">
        <v>12</v>
      </c>
      <c r="D533" t="s">
        <v>18</v>
      </c>
      <c r="E533">
        <v>710</v>
      </c>
      <c r="F533">
        <v>24</v>
      </c>
      <c r="G533">
        <v>54</v>
      </c>
      <c r="H533">
        <v>686</v>
      </c>
      <c r="I533">
        <v>3.380281690140845</v>
      </c>
      <c r="J533">
        <v>96.619718309859167</v>
      </c>
      <c r="K533" t="str">
        <f>_xlfn.XLOOKUP(tblProduction[[#This Row],[Product]],tblProducts[Product],tblProducts[Category],"Not Found")</f>
        <v>Assembly</v>
      </c>
      <c r="L533">
        <f>_xlfn.XLOOKUP(tblProduction[[#This Row],[Product]],tblProducts[Product],tblProducts[Target_Units],"Not Found")</f>
        <v>900</v>
      </c>
    </row>
    <row r="534" spans="1:12" x14ac:dyDescent="0.3">
      <c r="A534" s="1">
        <v>46082</v>
      </c>
      <c r="B534" t="s">
        <v>17</v>
      </c>
      <c r="C534" t="s">
        <v>13</v>
      </c>
      <c r="D534" t="s">
        <v>18</v>
      </c>
      <c r="E534">
        <v>692</v>
      </c>
      <c r="F534">
        <v>31</v>
      </c>
      <c r="G534">
        <v>33</v>
      </c>
      <c r="H534">
        <v>661</v>
      </c>
      <c r="I534">
        <v>4.4797687861271678</v>
      </c>
      <c r="J534">
        <v>95.520231213872833</v>
      </c>
      <c r="K534" t="str">
        <f>_xlfn.XLOOKUP(tblProduction[[#This Row],[Product]],tblProducts[Product],tblProducts[Category],"Not Found")</f>
        <v>Assembly</v>
      </c>
      <c r="L534">
        <f>_xlfn.XLOOKUP(tblProduction[[#This Row],[Product]],tblProducts[Product],tblProducts[Target_Units],"Not Found")</f>
        <v>900</v>
      </c>
    </row>
    <row r="535" spans="1:12" x14ac:dyDescent="0.3">
      <c r="A535" s="1">
        <v>46083</v>
      </c>
      <c r="B535" t="s">
        <v>9</v>
      </c>
      <c r="C535" t="s">
        <v>10</v>
      </c>
      <c r="D535" t="s">
        <v>16</v>
      </c>
      <c r="E535">
        <v>1099</v>
      </c>
      <c r="F535">
        <v>16</v>
      </c>
      <c r="G535">
        <v>25</v>
      </c>
      <c r="H535">
        <v>1083</v>
      </c>
      <c r="I535">
        <v>1.455868971792539</v>
      </c>
      <c r="J535">
        <v>98.54413102820746</v>
      </c>
      <c r="K535" t="str">
        <f>_xlfn.XLOOKUP(tblProduction[[#This Row],[Product]],tblProducts[Product],tblProducts[Category],"Not Found")</f>
        <v>Standard</v>
      </c>
      <c r="L535">
        <f>_xlfn.XLOOKUP(tblProduction[[#This Row],[Product]],tblProducts[Product],tblProducts[Target_Units],"Not Found")</f>
        <v>1000</v>
      </c>
    </row>
    <row r="536" spans="1:12" x14ac:dyDescent="0.3">
      <c r="A536" s="1">
        <v>46083</v>
      </c>
      <c r="B536" t="s">
        <v>9</v>
      </c>
      <c r="C536" t="s">
        <v>12</v>
      </c>
      <c r="D536" t="s">
        <v>18</v>
      </c>
      <c r="E536">
        <v>929</v>
      </c>
      <c r="F536">
        <v>13</v>
      </c>
      <c r="G536">
        <v>3</v>
      </c>
      <c r="H536">
        <v>916</v>
      </c>
      <c r="I536">
        <v>1.399354144241119</v>
      </c>
      <c r="J536">
        <v>98.600645855758884</v>
      </c>
      <c r="K536" t="str">
        <f>_xlfn.XLOOKUP(tblProduction[[#This Row],[Product]],tblProducts[Product],tblProducts[Category],"Not Found")</f>
        <v>Assembly</v>
      </c>
      <c r="L536">
        <f>_xlfn.XLOOKUP(tblProduction[[#This Row],[Product]],tblProducts[Product],tblProducts[Target_Units],"Not Found")</f>
        <v>900</v>
      </c>
    </row>
    <row r="537" spans="1:12" x14ac:dyDescent="0.3">
      <c r="A537" s="1">
        <v>46083</v>
      </c>
      <c r="B537" t="s">
        <v>9</v>
      </c>
      <c r="C537" t="s">
        <v>13</v>
      </c>
      <c r="D537" t="s">
        <v>16</v>
      </c>
      <c r="E537">
        <v>855</v>
      </c>
      <c r="F537">
        <v>21</v>
      </c>
      <c r="G537">
        <v>73</v>
      </c>
      <c r="H537">
        <v>834</v>
      </c>
      <c r="I537">
        <v>2.4561403508771931</v>
      </c>
      <c r="J537">
        <v>97.543859649122808</v>
      </c>
      <c r="K537" t="str">
        <f>_xlfn.XLOOKUP(tblProduction[[#This Row],[Product]],tblProducts[Product],tblProducts[Category],"Not Found")</f>
        <v>Standard</v>
      </c>
      <c r="L537">
        <f>_xlfn.XLOOKUP(tblProduction[[#This Row],[Product]],tblProducts[Product],tblProducts[Target_Units],"Not Found")</f>
        <v>1000</v>
      </c>
    </row>
    <row r="538" spans="1:12" x14ac:dyDescent="0.3">
      <c r="A538" s="1">
        <v>46083</v>
      </c>
      <c r="B538" t="s">
        <v>15</v>
      </c>
      <c r="C538" t="s">
        <v>10</v>
      </c>
      <c r="D538" t="s">
        <v>16</v>
      </c>
      <c r="E538">
        <v>970</v>
      </c>
      <c r="F538">
        <v>24</v>
      </c>
      <c r="G538">
        <v>12</v>
      </c>
      <c r="H538">
        <v>946</v>
      </c>
      <c r="I538">
        <v>2.474226804123711</v>
      </c>
      <c r="J538">
        <v>97.525773195876283</v>
      </c>
      <c r="K538" t="str">
        <f>_xlfn.XLOOKUP(tblProduction[[#This Row],[Product]],tblProducts[Product],tblProducts[Category],"Not Found")</f>
        <v>Standard</v>
      </c>
      <c r="L538">
        <f>_xlfn.XLOOKUP(tblProduction[[#This Row],[Product]],tblProducts[Product],tblProducts[Target_Units],"Not Found")</f>
        <v>1000</v>
      </c>
    </row>
    <row r="539" spans="1:12" x14ac:dyDescent="0.3">
      <c r="A539" s="1">
        <v>46083</v>
      </c>
      <c r="B539" t="s">
        <v>15</v>
      </c>
      <c r="C539" t="s">
        <v>12</v>
      </c>
      <c r="D539" t="s">
        <v>16</v>
      </c>
      <c r="E539">
        <v>776</v>
      </c>
      <c r="F539">
        <v>19</v>
      </c>
      <c r="G539">
        <v>88</v>
      </c>
      <c r="H539">
        <v>757</v>
      </c>
      <c r="I539">
        <v>2.4484536082474229</v>
      </c>
      <c r="J539">
        <v>97.551546391752581</v>
      </c>
      <c r="K539" t="str">
        <f>_xlfn.XLOOKUP(tblProduction[[#This Row],[Product]],tblProducts[Product],tblProducts[Category],"Not Found")</f>
        <v>Standard</v>
      </c>
      <c r="L539">
        <f>_xlfn.XLOOKUP(tblProduction[[#This Row],[Product]],tblProducts[Product],tblProducts[Target_Units],"Not Found")</f>
        <v>1000</v>
      </c>
    </row>
    <row r="540" spans="1:12" x14ac:dyDescent="0.3">
      <c r="A540" s="1">
        <v>46083</v>
      </c>
      <c r="B540" t="s">
        <v>15</v>
      </c>
      <c r="C540" t="s">
        <v>13</v>
      </c>
      <c r="D540" t="s">
        <v>16</v>
      </c>
      <c r="E540">
        <v>739</v>
      </c>
      <c r="F540">
        <v>25</v>
      </c>
      <c r="G540">
        <v>83</v>
      </c>
      <c r="H540">
        <v>714</v>
      </c>
      <c r="I540">
        <v>3.3829499323410008</v>
      </c>
      <c r="J540">
        <v>96.617050067658994</v>
      </c>
      <c r="K540" t="str">
        <f>_xlfn.XLOOKUP(tblProduction[[#This Row],[Product]],tblProducts[Product],tblProducts[Category],"Not Found")</f>
        <v>Standard</v>
      </c>
      <c r="L540">
        <f>_xlfn.XLOOKUP(tblProduction[[#This Row],[Product]],tblProducts[Product],tblProducts[Target_Units],"Not Found")</f>
        <v>1000</v>
      </c>
    </row>
    <row r="541" spans="1:12" x14ac:dyDescent="0.3">
      <c r="A541" s="1">
        <v>46083</v>
      </c>
      <c r="B541" t="s">
        <v>17</v>
      </c>
      <c r="C541" t="s">
        <v>10</v>
      </c>
      <c r="D541" t="s">
        <v>11</v>
      </c>
      <c r="E541">
        <v>818</v>
      </c>
      <c r="F541">
        <v>28</v>
      </c>
      <c r="G541">
        <v>53</v>
      </c>
      <c r="H541">
        <v>790</v>
      </c>
      <c r="I541">
        <v>3.4229828850855739</v>
      </c>
      <c r="J541">
        <v>96.577017114914426</v>
      </c>
      <c r="K541" t="str">
        <f>_xlfn.XLOOKUP(tblProduction[[#This Row],[Product]],tblProducts[Product],tblProducts[Category],"Not Found")</f>
        <v>Precision</v>
      </c>
      <c r="L541">
        <f>_xlfn.XLOOKUP(tblProduction[[#This Row],[Product]],tblProducts[Product],tblProducts[Target_Units],"Not Found")</f>
        <v>950</v>
      </c>
    </row>
    <row r="542" spans="1:12" x14ac:dyDescent="0.3">
      <c r="A542" s="1">
        <v>46083</v>
      </c>
      <c r="B542" t="s">
        <v>17</v>
      </c>
      <c r="C542" t="s">
        <v>12</v>
      </c>
      <c r="D542" t="s">
        <v>18</v>
      </c>
      <c r="E542">
        <v>686</v>
      </c>
      <c r="F542">
        <v>24</v>
      </c>
      <c r="G542">
        <v>79</v>
      </c>
      <c r="H542">
        <v>662</v>
      </c>
      <c r="I542">
        <v>3.4985422740524781</v>
      </c>
      <c r="J542">
        <v>96.501457725947532</v>
      </c>
      <c r="K542" t="str">
        <f>_xlfn.XLOOKUP(tblProduction[[#This Row],[Product]],tblProducts[Product],tblProducts[Category],"Not Found")</f>
        <v>Assembly</v>
      </c>
      <c r="L542">
        <f>_xlfn.XLOOKUP(tblProduction[[#This Row],[Product]],tblProducts[Product],tblProducts[Target_Units],"Not Found")</f>
        <v>900</v>
      </c>
    </row>
    <row r="543" spans="1:12" x14ac:dyDescent="0.3">
      <c r="A543" s="1">
        <v>46083</v>
      </c>
      <c r="B543" t="s">
        <v>17</v>
      </c>
      <c r="C543" t="s">
        <v>13</v>
      </c>
      <c r="D543" t="s">
        <v>16</v>
      </c>
      <c r="E543">
        <v>737</v>
      </c>
      <c r="F543">
        <v>33</v>
      </c>
      <c r="G543">
        <v>50</v>
      </c>
      <c r="H543">
        <v>704</v>
      </c>
      <c r="I543">
        <v>4.4776119402985071</v>
      </c>
      <c r="J543">
        <v>95.522388059701484</v>
      </c>
      <c r="K543" t="str">
        <f>_xlfn.XLOOKUP(tblProduction[[#This Row],[Product]],tblProducts[Product],tblProducts[Category],"Not Found")</f>
        <v>Standard</v>
      </c>
      <c r="L543">
        <f>_xlfn.XLOOKUP(tblProduction[[#This Row],[Product]],tblProducts[Product],tblProducts[Target_Units],"Not Found")</f>
        <v>1000</v>
      </c>
    </row>
    <row r="544" spans="1:12" x14ac:dyDescent="0.3">
      <c r="A544" s="1">
        <v>46084</v>
      </c>
      <c r="B544" t="s">
        <v>9</v>
      </c>
      <c r="C544" t="s">
        <v>10</v>
      </c>
      <c r="D544" t="s">
        <v>16</v>
      </c>
      <c r="E544">
        <v>957</v>
      </c>
      <c r="F544">
        <v>14</v>
      </c>
      <c r="G544">
        <v>60</v>
      </c>
      <c r="H544">
        <v>943</v>
      </c>
      <c r="I544">
        <v>1.462904911180773</v>
      </c>
      <c r="J544">
        <v>98.537095088819228</v>
      </c>
      <c r="K544" t="str">
        <f>_xlfn.XLOOKUP(tblProduction[[#This Row],[Product]],tblProducts[Product],tblProducts[Category],"Not Found")</f>
        <v>Standard</v>
      </c>
      <c r="L544">
        <f>_xlfn.XLOOKUP(tblProduction[[#This Row],[Product]],tblProducts[Product],tblProducts[Target_Units],"Not Found")</f>
        <v>1000</v>
      </c>
    </row>
    <row r="545" spans="1:12" x14ac:dyDescent="0.3">
      <c r="A545" s="1">
        <v>46084</v>
      </c>
      <c r="B545" t="s">
        <v>9</v>
      </c>
      <c r="C545" t="s">
        <v>12</v>
      </c>
      <c r="D545" t="s">
        <v>14</v>
      </c>
      <c r="E545">
        <v>862</v>
      </c>
      <c r="F545">
        <v>19</v>
      </c>
      <c r="G545">
        <v>43</v>
      </c>
      <c r="H545">
        <v>843</v>
      </c>
      <c r="I545">
        <v>2.204176334106728</v>
      </c>
      <c r="J545">
        <v>97.795823665893266</v>
      </c>
      <c r="K545" t="str">
        <f>_xlfn.XLOOKUP(tblProduction[[#This Row],[Product]],tblProducts[Product],tblProducts[Category],"Not Found")</f>
        <v>Assembly</v>
      </c>
      <c r="L545">
        <f>_xlfn.XLOOKUP(tblProduction[[#This Row],[Product]],tblProducts[Product],tblProducts[Target_Units],"Not Found")</f>
        <v>850</v>
      </c>
    </row>
    <row r="546" spans="1:12" x14ac:dyDescent="0.3">
      <c r="A546" s="1">
        <v>46084</v>
      </c>
      <c r="B546" t="s">
        <v>9</v>
      </c>
      <c r="C546" t="s">
        <v>13</v>
      </c>
      <c r="D546" t="s">
        <v>18</v>
      </c>
      <c r="E546">
        <v>748</v>
      </c>
      <c r="F546">
        <v>18</v>
      </c>
      <c r="G546">
        <v>65</v>
      </c>
      <c r="H546">
        <v>730</v>
      </c>
      <c r="I546">
        <v>2.4064171122994651</v>
      </c>
      <c r="J546">
        <v>97.593582887700535</v>
      </c>
      <c r="K546" t="str">
        <f>_xlfn.XLOOKUP(tblProduction[[#This Row],[Product]],tblProducts[Product],tblProducts[Category],"Not Found")</f>
        <v>Assembly</v>
      </c>
      <c r="L546">
        <f>_xlfn.XLOOKUP(tblProduction[[#This Row],[Product]],tblProducts[Product],tblProducts[Target_Units],"Not Found")</f>
        <v>900</v>
      </c>
    </row>
    <row r="547" spans="1:12" x14ac:dyDescent="0.3">
      <c r="A547" s="1">
        <v>46084</v>
      </c>
      <c r="B547" t="s">
        <v>15</v>
      </c>
      <c r="C547" t="s">
        <v>10</v>
      </c>
      <c r="D547" t="s">
        <v>14</v>
      </c>
      <c r="E547">
        <v>859</v>
      </c>
      <c r="F547">
        <v>28</v>
      </c>
      <c r="G547">
        <v>6</v>
      </c>
      <c r="H547">
        <v>831</v>
      </c>
      <c r="I547">
        <v>3.2596041909196738</v>
      </c>
      <c r="J547">
        <v>96.740395809080326</v>
      </c>
      <c r="K547" t="str">
        <f>_xlfn.XLOOKUP(tblProduction[[#This Row],[Product]],tblProducts[Product],tblProducts[Category],"Not Found")</f>
        <v>Assembly</v>
      </c>
      <c r="L547">
        <f>_xlfn.XLOOKUP(tblProduction[[#This Row],[Product]],tblProducts[Product],tblProducts[Target_Units],"Not Found")</f>
        <v>850</v>
      </c>
    </row>
    <row r="548" spans="1:12" x14ac:dyDescent="0.3">
      <c r="A548" s="1">
        <v>46084</v>
      </c>
      <c r="B548" t="s">
        <v>15</v>
      </c>
      <c r="C548" t="s">
        <v>12</v>
      </c>
      <c r="D548" t="s">
        <v>16</v>
      </c>
      <c r="E548">
        <v>937</v>
      </c>
      <c r="F548">
        <v>23</v>
      </c>
      <c r="G548">
        <v>16</v>
      </c>
      <c r="H548">
        <v>914</v>
      </c>
      <c r="I548">
        <v>2.454642475987193</v>
      </c>
      <c r="J548">
        <v>97.545357524012815</v>
      </c>
      <c r="K548" t="str">
        <f>_xlfn.XLOOKUP(tblProduction[[#This Row],[Product]],tblProducts[Product],tblProducts[Category],"Not Found")</f>
        <v>Standard</v>
      </c>
      <c r="L548">
        <f>_xlfn.XLOOKUP(tblProduction[[#This Row],[Product]],tblProducts[Product],tblProducts[Target_Units],"Not Found")</f>
        <v>1000</v>
      </c>
    </row>
    <row r="549" spans="1:12" x14ac:dyDescent="0.3">
      <c r="A549" s="1">
        <v>46084</v>
      </c>
      <c r="B549" t="s">
        <v>17</v>
      </c>
      <c r="C549" t="s">
        <v>10</v>
      </c>
      <c r="D549" t="s">
        <v>16</v>
      </c>
      <c r="E549">
        <v>854</v>
      </c>
      <c r="F549">
        <v>29</v>
      </c>
      <c r="G549">
        <v>23</v>
      </c>
      <c r="H549">
        <v>825</v>
      </c>
      <c r="I549">
        <v>3.3957845433255271</v>
      </c>
      <c r="J549">
        <v>96.604215456674467</v>
      </c>
      <c r="K549" t="str">
        <f>_xlfn.XLOOKUP(tblProduction[[#This Row],[Product]],tblProducts[Product],tblProducts[Category],"Not Found")</f>
        <v>Standard</v>
      </c>
      <c r="L549">
        <f>_xlfn.XLOOKUP(tblProduction[[#This Row],[Product]],tblProducts[Product],tblProducts[Target_Units],"Not Found")</f>
        <v>1000</v>
      </c>
    </row>
    <row r="550" spans="1:12" x14ac:dyDescent="0.3">
      <c r="A550" s="1">
        <v>46084</v>
      </c>
      <c r="B550" t="s">
        <v>17</v>
      </c>
      <c r="C550" t="s">
        <v>12</v>
      </c>
      <c r="D550" t="s">
        <v>11</v>
      </c>
      <c r="E550">
        <v>699</v>
      </c>
      <c r="F550">
        <v>24</v>
      </c>
      <c r="G550">
        <v>83</v>
      </c>
      <c r="H550">
        <v>675</v>
      </c>
      <c r="I550">
        <v>3.433476394849786</v>
      </c>
      <c r="J550">
        <v>96.566523605150209</v>
      </c>
      <c r="K550" t="str">
        <f>_xlfn.XLOOKUP(tblProduction[[#This Row],[Product]],tblProducts[Product],tblProducts[Category],"Not Found")</f>
        <v>Precision</v>
      </c>
      <c r="L550">
        <f>_xlfn.XLOOKUP(tblProduction[[#This Row],[Product]],tblProducts[Product],tblProducts[Target_Units],"Not Found")</f>
        <v>950</v>
      </c>
    </row>
    <row r="551" spans="1:12" x14ac:dyDescent="0.3">
      <c r="A551" s="1">
        <v>46084</v>
      </c>
      <c r="B551" t="s">
        <v>17</v>
      </c>
      <c r="C551" t="s">
        <v>13</v>
      </c>
      <c r="D551" t="s">
        <v>18</v>
      </c>
      <c r="E551">
        <v>667</v>
      </c>
      <c r="F551">
        <v>30</v>
      </c>
      <c r="G551">
        <v>40</v>
      </c>
      <c r="H551">
        <v>637</v>
      </c>
      <c r="I551">
        <v>4.497751124437781</v>
      </c>
      <c r="J551">
        <v>95.502248875562231</v>
      </c>
      <c r="K551" t="str">
        <f>_xlfn.XLOOKUP(tblProduction[[#This Row],[Product]],tblProducts[Product],tblProducts[Category],"Not Found")</f>
        <v>Assembly</v>
      </c>
      <c r="L551">
        <f>_xlfn.XLOOKUP(tblProduction[[#This Row],[Product]],tblProducts[Product],tblProducts[Target_Units],"Not Found")</f>
        <v>900</v>
      </c>
    </row>
    <row r="552" spans="1:12" x14ac:dyDescent="0.3">
      <c r="A552" s="1">
        <v>46085</v>
      </c>
      <c r="B552" t="s">
        <v>9</v>
      </c>
      <c r="C552" t="s">
        <v>10</v>
      </c>
      <c r="D552" t="s">
        <v>16</v>
      </c>
      <c r="E552">
        <v>983</v>
      </c>
      <c r="F552">
        <v>14</v>
      </c>
      <c r="G552">
        <v>50</v>
      </c>
      <c r="H552">
        <v>969</v>
      </c>
      <c r="I552">
        <v>1.424211597151577</v>
      </c>
      <c r="J552">
        <v>98.575788402848417</v>
      </c>
      <c r="K552" t="str">
        <f>_xlfn.XLOOKUP(tblProduction[[#This Row],[Product]],tblProducts[Product],tblProducts[Category],"Not Found")</f>
        <v>Standard</v>
      </c>
      <c r="L552">
        <f>_xlfn.XLOOKUP(tblProduction[[#This Row],[Product]],tblProducts[Product],tblProducts[Target_Units],"Not Found")</f>
        <v>1000</v>
      </c>
    </row>
    <row r="553" spans="1:12" x14ac:dyDescent="0.3">
      <c r="A553" s="1">
        <v>46085</v>
      </c>
      <c r="B553" t="s">
        <v>9</v>
      </c>
      <c r="C553" t="s">
        <v>12</v>
      </c>
      <c r="D553" t="s">
        <v>16</v>
      </c>
      <c r="E553">
        <v>957</v>
      </c>
      <c r="F553">
        <v>14</v>
      </c>
      <c r="G553">
        <v>70</v>
      </c>
      <c r="H553">
        <v>943</v>
      </c>
      <c r="I553">
        <v>1.462904911180773</v>
      </c>
      <c r="J553">
        <v>98.537095088819228</v>
      </c>
      <c r="K553" t="str">
        <f>_xlfn.XLOOKUP(tblProduction[[#This Row],[Product]],tblProducts[Product],tblProducts[Category],"Not Found")</f>
        <v>Standard</v>
      </c>
      <c r="L553">
        <f>_xlfn.XLOOKUP(tblProduction[[#This Row],[Product]],tblProducts[Product],tblProducts[Target_Units],"Not Found")</f>
        <v>1000</v>
      </c>
    </row>
    <row r="554" spans="1:12" x14ac:dyDescent="0.3">
      <c r="A554" s="1">
        <v>46085</v>
      </c>
      <c r="B554" t="s">
        <v>9</v>
      </c>
      <c r="C554" t="s">
        <v>13</v>
      </c>
      <c r="D554" t="s">
        <v>18</v>
      </c>
      <c r="E554">
        <v>794</v>
      </c>
      <c r="F554">
        <v>19</v>
      </c>
      <c r="G554">
        <v>75</v>
      </c>
      <c r="H554">
        <v>775</v>
      </c>
      <c r="I554">
        <v>2.3929471032745591</v>
      </c>
      <c r="J554">
        <v>97.607052896725449</v>
      </c>
      <c r="K554" t="str">
        <f>_xlfn.XLOOKUP(tblProduction[[#This Row],[Product]],tblProducts[Product],tblProducts[Category],"Not Found")</f>
        <v>Assembly</v>
      </c>
      <c r="L554">
        <f>_xlfn.XLOOKUP(tblProduction[[#This Row],[Product]],tblProducts[Product],tblProducts[Target_Units],"Not Found")</f>
        <v>900</v>
      </c>
    </row>
    <row r="555" spans="1:12" x14ac:dyDescent="0.3">
      <c r="A555" s="1">
        <v>46085</v>
      </c>
      <c r="B555" t="s">
        <v>15</v>
      </c>
      <c r="C555" t="s">
        <v>10</v>
      </c>
      <c r="D555" t="s">
        <v>18</v>
      </c>
      <c r="E555">
        <v>838</v>
      </c>
      <c r="F555">
        <v>20</v>
      </c>
      <c r="G555">
        <v>24</v>
      </c>
      <c r="H555">
        <v>818</v>
      </c>
      <c r="I555">
        <v>2.3866348448687349</v>
      </c>
      <c r="J555">
        <v>97.613365155131262</v>
      </c>
      <c r="K555" t="str">
        <f>_xlfn.XLOOKUP(tblProduction[[#This Row],[Product]],tblProducts[Product],tblProducts[Category],"Not Found")</f>
        <v>Assembly</v>
      </c>
      <c r="L555">
        <f>_xlfn.XLOOKUP(tblProduction[[#This Row],[Product]],tblProducts[Product],tblProducts[Target_Units],"Not Found")</f>
        <v>900</v>
      </c>
    </row>
    <row r="556" spans="1:12" x14ac:dyDescent="0.3">
      <c r="A556" s="1">
        <v>46085</v>
      </c>
      <c r="B556" t="s">
        <v>15</v>
      </c>
      <c r="C556" t="s">
        <v>12</v>
      </c>
      <c r="D556" t="s">
        <v>14</v>
      </c>
      <c r="E556">
        <v>761</v>
      </c>
      <c r="F556">
        <v>25</v>
      </c>
      <c r="G556">
        <v>30</v>
      </c>
      <c r="H556">
        <v>736</v>
      </c>
      <c r="I556">
        <v>3.2851511169513801</v>
      </c>
      <c r="J556">
        <v>96.714848883048617</v>
      </c>
      <c r="K556" t="str">
        <f>_xlfn.XLOOKUP(tblProduction[[#This Row],[Product]],tblProducts[Product],tblProducts[Category],"Not Found")</f>
        <v>Assembly</v>
      </c>
      <c r="L556">
        <f>_xlfn.XLOOKUP(tblProduction[[#This Row],[Product]],tblProducts[Product],tblProducts[Target_Units],"Not Found")</f>
        <v>850</v>
      </c>
    </row>
    <row r="557" spans="1:12" x14ac:dyDescent="0.3">
      <c r="A557" s="1">
        <v>46085</v>
      </c>
      <c r="B557" t="s">
        <v>15</v>
      </c>
      <c r="C557" t="s">
        <v>13</v>
      </c>
      <c r="D557" t="s">
        <v>14</v>
      </c>
      <c r="E557">
        <v>706</v>
      </c>
      <c r="F557">
        <v>30</v>
      </c>
      <c r="G557">
        <v>15</v>
      </c>
      <c r="H557">
        <v>676</v>
      </c>
      <c r="I557">
        <v>4.2492917847025504</v>
      </c>
      <c r="J557">
        <v>95.75070821529745</v>
      </c>
      <c r="K557" t="str">
        <f>_xlfn.XLOOKUP(tblProduction[[#This Row],[Product]],tblProducts[Product],tblProducts[Category],"Not Found")</f>
        <v>Assembly</v>
      </c>
      <c r="L557">
        <f>_xlfn.XLOOKUP(tblProduction[[#This Row],[Product]],tblProducts[Product],tblProducts[Target_Units],"Not Found")</f>
        <v>850</v>
      </c>
    </row>
    <row r="558" spans="1:12" x14ac:dyDescent="0.3">
      <c r="A558" s="1">
        <v>46085</v>
      </c>
      <c r="B558" t="s">
        <v>17</v>
      </c>
      <c r="C558" t="s">
        <v>10</v>
      </c>
      <c r="D558" t="s">
        <v>18</v>
      </c>
      <c r="E558">
        <v>745</v>
      </c>
      <c r="F558">
        <v>26</v>
      </c>
      <c r="G558">
        <v>25</v>
      </c>
      <c r="H558">
        <v>719</v>
      </c>
      <c r="I558">
        <v>3.4899328859060401</v>
      </c>
      <c r="J558">
        <v>96.510067114093957</v>
      </c>
      <c r="K558" t="str">
        <f>_xlfn.XLOOKUP(tblProduction[[#This Row],[Product]],tblProducts[Product],tblProducts[Category],"Not Found")</f>
        <v>Assembly</v>
      </c>
      <c r="L558">
        <f>_xlfn.XLOOKUP(tblProduction[[#This Row],[Product]],tblProducts[Product],tblProducts[Target_Units],"Not Found")</f>
        <v>900</v>
      </c>
    </row>
    <row r="559" spans="1:12" x14ac:dyDescent="0.3">
      <c r="A559" s="1">
        <v>46085</v>
      </c>
      <c r="B559" t="s">
        <v>17</v>
      </c>
      <c r="C559" t="s">
        <v>12</v>
      </c>
      <c r="D559" t="s">
        <v>18</v>
      </c>
      <c r="E559">
        <v>652</v>
      </c>
      <c r="F559">
        <v>22</v>
      </c>
      <c r="G559">
        <v>83</v>
      </c>
      <c r="H559">
        <v>630</v>
      </c>
      <c r="I559">
        <v>3.3742331288343559</v>
      </c>
      <c r="J559">
        <v>96.625766871165638</v>
      </c>
      <c r="K559" t="str">
        <f>_xlfn.XLOOKUP(tblProduction[[#This Row],[Product]],tblProducts[Product],tblProducts[Category],"Not Found")</f>
        <v>Assembly</v>
      </c>
      <c r="L559">
        <f>_xlfn.XLOOKUP(tblProduction[[#This Row],[Product]],tblProducts[Product],tblProducts[Target_Units],"Not Found")</f>
        <v>900</v>
      </c>
    </row>
    <row r="560" spans="1:12" x14ac:dyDescent="0.3">
      <c r="A560" s="1">
        <v>46085</v>
      </c>
      <c r="B560" t="s">
        <v>17</v>
      </c>
      <c r="C560" t="s">
        <v>13</v>
      </c>
      <c r="D560" t="s">
        <v>18</v>
      </c>
      <c r="E560">
        <v>628</v>
      </c>
      <c r="F560">
        <v>28</v>
      </c>
      <c r="G560">
        <v>46</v>
      </c>
      <c r="H560">
        <v>600</v>
      </c>
      <c r="I560">
        <v>4.4585987261146496</v>
      </c>
      <c r="J560">
        <v>95.541401273885356</v>
      </c>
      <c r="K560" t="str">
        <f>_xlfn.XLOOKUP(tblProduction[[#This Row],[Product]],tblProducts[Product],tblProducts[Category],"Not Found")</f>
        <v>Assembly</v>
      </c>
      <c r="L560">
        <f>_xlfn.XLOOKUP(tblProduction[[#This Row],[Product]],tblProducts[Product],tblProducts[Target_Units],"Not Found")</f>
        <v>900</v>
      </c>
    </row>
    <row r="561" spans="1:12" x14ac:dyDescent="0.3">
      <c r="A561" s="1">
        <v>46086</v>
      </c>
      <c r="B561" t="s">
        <v>9</v>
      </c>
      <c r="C561" t="s">
        <v>10</v>
      </c>
      <c r="D561" t="s">
        <v>18</v>
      </c>
      <c r="E561">
        <v>975</v>
      </c>
      <c r="F561">
        <v>14</v>
      </c>
      <c r="G561">
        <v>2</v>
      </c>
      <c r="H561">
        <v>961</v>
      </c>
      <c r="I561">
        <v>1.4358974358974359</v>
      </c>
      <c r="J561">
        <v>98.564102564102569</v>
      </c>
      <c r="K561" t="str">
        <f>_xlfn.XLOOKUP(tblProduction[[#This Row],[Product]],tblProducts[Product],tblProducts[Category],"Not Found")</f>
        <v>Assembly</v>
      </c>
      <c r="L561">
        <f>_xlfn.XLOOKUP(tblProduction[[#This Row],[Product]],tblProducts[Product],tblProducts[Target_Units],"Not Found")</f>
        <v>900</v>
      </c>
    </row>
    <row r="562" spans="1:12" x14ac:dyDescent="0.3">
      <c r="A562" s="1">
        <v>46086</v>
      </c>
      <c r="B562" t="s">
        <v>9</v>
      </c>
      <c r="C562" t="s">
        <v>12</v>
      </c>
      <c r="D562" t="s">
        <v>14</v>
      </c>
      <c r="E562">
        <v>878</v>
      </c>
      <c r="F562">
        <v>20</v>
      </c>
      <c r="G562">
        <v>3</v>
      </c>
      <c r="H562">
        <v>858</v>
      </c>
      <c r="I562">
        <v>2.2779043280182232</v>
      </c>
      <c r="J562">
        <v>97.722095671981776</v>
      </c>
      <c r="K562" t="str">
        <f>_xlfn.XLOOKUP(tblProduction[[#This Row],[Product]],tblProducts[Product],tblProducts[Category],"Not Found")</f>
        <v>Assembly</v>
      </c>
      <c r="L562">
        <f>_xlfn.XLOOKUP(tblProduction[[#This Row],[Product]],tblProducts[Product],tblProducts[Target_Units],"Not Found")</f>
        <v>850</v>
      </c>
    </row>
    <row r="563" spans="1:12" x14ac:dyDescent="0.3">
      <c r="A563" s="1">
        <v>46086</v>
      </c>
      <c r="B563" t="s">
        <v>9</v>
      </c>
      <c r="C563" t="s">
        <v>13</v>
      </c>
      <c r="D563" t="s">
        <v>16</v>
      </c>
      <c r="E563">
        <v>885</v>
      </c>
      <c r="F563">
        <v>22</v>
      </c>
      <c r="G563">
        <v>57</v>
      </c>
      <c r="H563">
        <v>863</v>
      </c>
      <c r="I563">
        <v>2.485875706214689</v>
      </c>
      <c r="J563">
        <v>97.514124293785315</v>
      </c>
      <c r="K563" t="str">
        <f>_xlfn.XLOOKUP(tblProduction[[#This Row],[Product]],tblProducts[Product],tblProducts[Category],"Not Found")</f>
        <v>Standard</v>
      </c>
      <c r="L563">
        <f>_xlfn.XLOOKUP(tblProduction[[#This Row],[Product]],tblProducts[Product],tblProducts[Target_Units],"Not Found")</f>
        <v>1000</v>
      </c>
    </row>
    <row r="564" spans="1:12" x14ac:dyDescent="0.3">
      <c r="A564" s="1">
        <v>46086</v>
      </c>
      <c r="B564" t="s">
        <v>15</v>
      </c>
      <c r="C564" t="s">
        <v>10</v>
      </c>
      <c r="D564" t="s">
        <v>18</v>
      </c>
      <c r="E564">
        <v>822</v>
      </c>
      <c r="F564">
        <v>20</v>
      </c>
      <c r="G564">
        <v>49</v>
      </c>
      <c r="H564">
        <v>802</v>
      </c>
      <c r="I564">
        <v>2.4330900243308999</v>
      </c>
      <c r="J564">
        <v>97.566909975669105</v>
      </c>
      <c r="K564" t="str">
        <f>_xlfn.XLOOKUP(tblProduction[[#This Row],[Product]],tblProducts[Product],tblProducts[Category],"Not Found")</f>
        <v>Assembly</v>
      </c>
      <c r="L564">
        <f>_xlfn.XLOOKUP(tblProduction[[#This Row],[Product]],tblProducts[Product],tblProducts[Target_Units],"Not Found")</f>
        <v>900</v>
      </c>
    </row>
    <row r="565" spans="1:12" x14ac:dyDescent="0.3">
      <c r="A565" s="1">
        <v>46086</v>
      </c>
      <c r="B565" t="s">
        <v>15</v>
      </c>
      <c r="C565" t="s">
        <v>12</v>
      </c>
      <c r="D565" t="s">
        <v>16</v>
      </c>
      <c r="E565">
        <v>897</v>
      </c>
      <c r="F565">
        <v>22</v>
      </c>
      <c r="G565">
        <v>32</v>
      </c>
      <c r="H565">
        <v>875</v>
      </c>
      <c r="I565">
        <v>2.4526198439241922</v>
      </c>
      <c r="J565">
        <v>97.547380156075818</v>
      </c>
      <c r="K565" t="str">
        <f>_xlfn.XLOOKUP(tblProduction[[#This Row],[Product]],tblProducts[Product],tblProducts[Category],"Not Found")</f>
        <v>Standard</v>
      </c>
      <c r="L565">
        <f>_xlfn.XLOOKUP(tblProduction[[#This Row],[Product]],tblProducts[Product],tblProducts[Target_Units],"Not Found")</f>
        <v>1000</v>
      </c>
    </row>
    <row r="566" spans="1:12" x14ac:dyDescent="0.3">
      <c r="A566" s="1">
        <v>46086</v>
      </c>
      <c r="B566" t="s">
        <v>15</v>
      </c>
      <c r="C566" t="s">
        <v>13</v>
      </c>
      <c r="D566" t="s">
        <v>14</v>
      </c>
      <c r="E566">
        <v>634</v>
      </c>
      <c r="F566">
        <v>27</v>
      </c>
      <c r="G566">
        <v>85</v>
      </c>
      <c r="H566">
        <v>607</v>
      </c>
      <c r="I566">
        <v>4.2586750788643526</v>
      </c>
      <c r="J566">
        <v>95.741324921135657</v>
      </c>
      <c r="K566" t="str">
        <f>_xlfn.XLOOKUP(tblProduction[[#This Row],[Product]],tblProducts[Product],tblProducts[Category],"Not Found")</f>
        <v>Assembly</v>
      </c>
      <c r="L566">
        <f>_xlfn.XLOOKUP(tblProduction[[#This Row],[Product]],tblProducts[Product],tblProducts[Target_Units],"Not Found")</f>
        <v>850</v>
      </c>
    </row>
    <row r="567" spans="1:12" x14ac:dyDescent="0.3">
      <c r="A567" s="1">
        <v>46086</v>
      </c>
      <c r="B567" t="s">
        <v>17</v>
      </c>
      <c r="C567" t="s">
        <v>10</v>
      </c>
      <c r="D567" t="s">
        <v>14</v>
      </c>
      <c r="E567">
        <v>729</v>
      </c>
      <c r="F567">
        <v>31</v>
      </c>
      <c r="G567">
        <v>39</v>
      </c>
      <c r="H567">
        <v>698</v>
      </c>
      <c r="I567">
        <v>4.252400548696845</v>
      </c>
      <c r="J567">
        <v>95.747599451303159</v>
      </c>
      <c r="K567" t="str">
        <f>_xlfn.XLOOKUP(tblProduction[[#This Row],[Product]],tblProducts[Product],tblProducts[Category],"Not Found")</f>
        <v>Assembly</v>
      </c>
      <c r="L567">
        <f>_xlfn.XLOOKUP(tblProduction[[#This Row],[Product]],tblProducts[Product],tblProducts[Target_Units],"Not Found")</f>
        <v>850</v>
      </c>
    </row>
    <row r="568" spans="1:12" x14ac:dyDescent="0.3">
      <c r="A568" s="1">
        <v>46086</v>
      </c>
      <c r="B568" t="s">
        <v>17</v>
      </c>
      <c r="C568" t="s">
        <v>12</v>
      </c>
      <c r="D568" t="s">
        <v>11</v>
      </c>
      <c r="E568">
        <v>731</v>
      </c>
      <c r="F568">
        <v>25</v>
      </c>
      <c r="G568">
        <v>59</v>
      </c>
      <c r="H568">
        <v>706</v>
      </c>
      <c r="I568">
        <v>3.4199726402188779</v>
      </c>
      <c r="J568">
        <v>96.580027359781113</v>
      </c>
      <c r="K568" t="str">
        <f>_xlfn.XLOOKUP(tblProduction[[#This Row],[Product]],tblProducts[Product],tblProducts[Category],"Not Found")</f>
        <v>Precision</v>
      </c>
      <c r="L568">
        <f>_xlfn.XLOOKUP(tblProduction[[#This Row],[Product]],tblProducts[Product],tblProducts[Target_Units],"Not Found")</f>
        <v>950</v>
      </c>
    </row>
    <row r="569" spans="1:12" x14ac:dyDescent="0.3">
      <c r="A569" s="1">
        <v>46086</v>
      </c>
      <c r="B569" t="s">
        <v>17</v>
      </c>
      <c r="C569" t="s">
        <v>13</v>
      </c>
      <c r="D569" t="s">
        <v>11</v>
      </c>
      <c r="E569">
        <v>742</v>
      </c>
      <c r="F569">
        <v>33</v>
      </c>
      <c r="G569">
        <v>31</v>
      </c>
      <c r="H569">
        <v>709</v>
      </c>
      <c r="I569">
        <v>4.44743935309973</v>
      </c>
      <c r="J569">
        <v>95.552560646900261</v>
      </c>
      <c r="K569" t="str">
        <f>_xlfn.XLOOKUP(tblProduction[[#This Row],[Product]],tblProducts[Product],tblProducts[Category],"Not Found")</f>
        <v>Precision</v>
      </c>
      <c r="L569">
        <f>_xlfn.XLOOKUP(tblProduction[[#This Row],[Product]],tblProducts[Product],tblProducts[Target_Units],"Not Found")</f>
        <v>950</v>
      </c>
    </row>
    <row r="570" spans="1:12" x14ac:dyDescent="0.3">
      <c r="A570" s="1">
        <v>46087</v>
      </c>
      <c r="B570" t="s">
        <v>9</v>
      </c>
      <c r="C570" t="s">
        <v>10</v>
      </c>
      <c r="D570" t="s">
        <v>11</v>
      </c>
      <c r="E570">
        <v>1042</v>
      </c>
      <c r="F570">
        <v>15</v>
      </c>
      <c r="G570">
        <v>12</v>
      </c>
      <c r="H570">
        <v>1027</v>
      </c>
      <c r="I570">
        <v>1.4395393474088289</v>
      </c>
      <c r="J570">
        <v>98.560460652591175</v>
      </c>
      <c r="K570" t="str">
        <f>_xlfn.XLOOKUP(tblProduction[[#This Row],[Product]],tblProducts[Product],tblProducts[Category],"Not Found")</f>
        <v>Precision</v>
      </c>
      <c r="L570">
        <f>_xlfn.XLOOKUP(tblProduction[[#This Row],[Product]],tblProducts[Product],tblProducts[Target_Units],"Not Found")</f>
        <v>950</v>
      </c>
    </row>
    <row r="571" spans="1:12" x14ac:dyDescent="0.3">
      <c r="A571" s="1">
        <v>46087</v>
      </c>
      <c r="B571" t="s">
        <v>9</v>
      </c>
      <c r="C571" t="s">
        <v>12</v>
      </c>
      <c r="D571" t="s">
        <v>16</v>
      </c>
      <c r="E571">
        <v>966</v>
      </c>
      <c r="F571">
        <v>14</v>
      </c>
      <c r="G571">
        <v>54</v>
      </c>
      <c r="H571">
        <v>952</v>
      </c>
      <c r="I571">
        <v>1.449275362318841</v>
      </c>
      <c r="J571">
        <v>98.550724637681171</v>
      </c>
      <c r="K571" t="str">
        <f>_xlfn.XLOOKUP(tblProduction[[#This Row],[Product]],tblProducts[Product],tblProducts[Category],"Not Found")</f>
        <v>Standard</v>
      </c>
      <c r="L571">
        <f>_xlfn.XLOOKUP(tblProduction[[#This Row],[Product]],tblProducts[Product],tblProducts[Target_Units],"Not Found")</f>
        <v>1000</v>
      </c>
    </row>
    <row r="572" spans="1:12" x14ac:dyDescent="0.3">
      <c r="A572" s="1">
        <v>46087</v>
      </c>
      <c r="B572" t="s">
        <v>9</v>
      </c>
      <c r="C572" t="s">
        <v>13</v>
      </c>
      <c r="D572" t="s">
        <v>18</v>
      </c>
      <c r="E572">
        <v>849</v>
      </c>
      <c r="F572">
        <v>21</v>
      </c>
      <c r="G572">
        <v>19</v>
      </c>
      <c r="H572">
        <v>828</v>
      </c>
      <c r="I572">
        <v>2.473498233215548</v>
      </c>
      <c r="J572">
        <v>97.526501766784463</v>
      </c>
      <c r="K572" t="str">
        <f>_xlfn.XLOOKUP(tblProduction[[#This Row],[Product]],tblProducts[Product],tblProducts[Category],"Not Found")</f>
        <v>Assembly</v>
      </c>
      <c r="L572">
        <f>_xlfn.XLOOKUP(tblProduction[[#This Row],[Product]],tblProducts[Product],tblProducts[Target_Units],"Not Found")</f>
        <v>900</v>
      </c>
    </row>
    <row r="573" spans="1:12" x14ac:dyDescent="0.3">
      <c r="A573" s="1">
        <v>46087</v>
      </c>
      <c r="B573" t="s">
        <v>15</v>
      </c>
      <c r="C573" t="s">
        <v>10</v>
      </c>
      <c r="D573" t="s">
        <v>14</v>
      </c>
      <c r="E573">
        <v>734</v>
      </c>
      <c r="F573">
        <v>24</v>
      </c>
      <c r="G573">
        <v>58</v>
      </c>
      <c r="H573">
        <v>710</v>
      </c>
      <c r="I573">
        <v>3.26975476839237</v>
      </c>
      <c r="J573">
        <v>96.730245231607626</v>
      </c>
      <c r="K573" t="str">
        <f>_xlfn.XLOOKUP(tblProduction[[#This Row],[Product]],tblProducts[Product],tblProducts[Category],"Not Found")</f>
        <v>Assembly</v>
      </c>
      <c r="L573">
        <f>_xlfn.XLOOKUP(tblProduction[[#This Row],[Product]],tblProducts[Product],tblProducts[Target_Units],"Not Found")</f>
        <v>850</v>
      </c>
    </row>
    <row r="574" spans="1:12" x14ac:dyDescent="0.3">
      <c r="A574" s="1">
        <v>46087</v>
      </c>
      <c r="B574" t="s">
        <v>15</v>
      </c>
      <c r="C574" t="s">
        <v>12</v>
      </c>
      <c r="D574" t="s">
        <v>18</v>
      </c>
      <c r="E574">
        <v>704</v>
      </c>
      <c r="F574">
        <v>17</v>
      </c>
      <c r="G574">
        <v>84</v>
      </c>
      <c r="H574">
        <v>687</v>
      </c>
      <c r="I574">
        <v>2.4147727272727271</v>
      </c>
      <c r="J574">
        <v>97.585227272727266</v>
      </c>
      <c r="K574" t="str">
        <f>_xlfn.XLOOKUP(tblProduction[[#This Row],[Product]],tblProducts[Product],tblProducts[Category],"Not Found")</f>
        <v>Assembly</v>
      </c>
      <c r="L574">
        <f>_xlfn.XLOOKUP(tblProduction[[#This Row],[Product]],tblProducts[Product],tblProducts[Target_Units],"Not Found")</f>
        <v>900</v>
      </c>
    </row>
    <row r="575" spans="1:12" x14ac:dyDescent="0.3">
      <c r="A575" s="1">
        <v>46087</v>
      </c>
      <c r="B575" t="s">
        <v>15</v>
      </c>
      <c r="C575" t="s">
        <v>13</v>
      </c>
      <c r="D575" t="s">
        <v>14</v>
      </c>
      <c r="E575">
        <v>662</v>
      </c>
      <c r="F575">
        <v>28</v>
      </c>
      <c r="G575">
        <v>88</v>
      </c>
      <c r="H575">
        <v>634</v>
      </c>
      <c r="I575">
        <v>4.2296072507552873</v>
      </c>
      <c r="J575">
        <v>95.770392749244721</v>
      </c>
      <c r="K575" t="str">
        <f>_xlfn.XLOOKUP(tblProduction[[#This Row],[Product]],tblProducts[Product],tblProducts[Category],"Not Found")</f>
        <v>Assembly</v>
      </c>
      <c r="L575">
        <f>_xlfn.XLOOKUP(tblProduction[[#This Row],[Product]],tblProducts[Product],tblProducts[Target_Units],"Not Found")</f>
        <v>850</v>
      </c>
    </row>
    <row r="576" spans="1:12" x14ac:dyDescent="0.3">
      <c r="A576" s="1">
        <v>46087</v>
      </c>
      <c r="B576" t="s">
        <v>17</v>
      </c>
      <c r="C576" t="s">
        <v>10</v>
      </c>
      <c r="D576" t="s">
        <v>16</v>
      </c>
      <c r="E576">
        <v>908</v>
      </c>
      <c r="F576">
        <v>31</v>
      </c>
      <c r="G576">
        <v>18</v>
      </c>
      <c r="H576">
        <v>877</v>
      </c>
      <c r="I576">
        <v>3.41409691629956</v>
      </c>
      <c r="J576">
        <v>96.585903083700444</v>
      </c>
      <c r="K576" t="str">
        <f>_xlfn.XLOOKUP(tblProduction[[#This Row],[Product]],tblProducts[Product],tblProducts[Category],"Not Found")</f>
        <v>Standard</v>
      </c>
      <c r="L576">
        <f>_xlfn.XLOOKUP(tblProduction[[#This Row],[Product]],tblProducts[Product],tblProducts[Target_Units],"Not Found")</f>
        <v>1000</v>
      </c>
    </row>
    <row r="577" spans="1:12" x14ac:dyDescent="0.3">
      <c r="A577" s="1">
        <v>46087</v>
      </c>
      <c r="B577" t="s">
        <v>17</v>
      </c>
      <c r="C577" t="s">
        <v>12</v>
      </c>
      <c r="D577" t="s">
        <v>16</v>
      </c>
      <c r="E577">
        <v>778</v>
      </c>
      <c r="F577">
        <v>27</v>
      </c>
      <c r="G577">
        <v>52</v>
      </c>
      <c r="H577">
        <v>751</v>
      </c>
      <c r="I577">
        <v>3.4704370179948589</v>
      </c>
      <c r="J577">
        <v>96.529562982005146</v>
      </c>
      <c r="K577" t="str">
        <f>_xlfn.XLOOKUP(tblProduction[[#This Row],[Product]],tblProducts[Product],tblProducts[Category],"Not Found")</f>
        <v>Standard</v>
      </c>
      <c r="L577">
        <f>_xlfn.XLOOKUP(tblProduction[[#This Row],[Product]],tblProducts[Product],tblProducts[Target_Units],"Not Found")</f>
        <v>1000</v>
      </c>
    </row>
    <row r="578" spans="1:12" x14ac:dyDescent="0.3">
      <c r="A578" s="1">
        <v>46087</v>
      </c>
      <c r="B578" t="s">
        <v>17</v>
      </c>
      <c r="C578" t="s">
        <v>13</v>
      </c>
      <c r="D578" t="s">
        <v>16</v>
      </c>
      <c r="E578">
        <v>717</v>
      </c>
      <c r="F578">
        <v>32</v>
      </c>
      <c r="G578">
        <v>50</v>
      </c>
      <c r="H578">
        <v>685</v>
      </c>
      <c r="I578">
        <v>4.4630404463040447</v>
      </c>
      <c r="J578">
        <v>95.536959553695951</v>
      </c>
      <c r="K578" t="str">
        <f>_xlfn.XLOOKUP(tblProduction[[#This Row],[Product]],tblProducts[Product],tblProducts[Category],"Not Found")</f>
        <v>Standard</v>
      </c>
      <c r="L578">
        <f>_xlfn.XLOOKUP(tblProduction[[#This Row],[Product]],tblProducts[Product],tblProducts[Target_Units],"Not Found")</f>
        <v>1000</v>
      </c>
    </row>
    <row r="579" spans="1:12" x14ac:dyDescent="0.3">
      <c r="A579" s="1">
        <v>46088</v>
      </c>
      <c r="B579" t="s">
        <v>9</v>
      </c>
      <c r="C579" t="s">
        <v>10</v>
      </c>
      <c r="D579" t="s">
        <v>18</v>
      </c>
      <c r="E579">
        <v>982</v>
      </c>
      <c r="F579">
        <v>14</v>
      </c>
      <c r="G579">
        <v>24</v>
      </c>
      <c r="H579">
        <v>968</v>
      </c>
      <c r="I579">
        <v>1.4256619144602849</v>
      </c>
      <c r="J579">
        <v>98.574338085539708</v>
      </c>
      <c r="K579" t="str">
        <f>_xlfn.XLOOKUP(tblProduction[[#This Row],[Product]],tblProducts[Product],tblProducts[Category],"Not Found")</f>
        <v>Assembly</v>
      </c>
      <c r="L579">
        <f>_xlfn.XLOOKUP(tblProduction[[#This Row],[Product]],tblProducts[Product],tblProducts[Target_Units],"Not Found")</f>
        <v>900</v>
      </c>
    </row>
    <row r="580" spans="1:12" x14ac:dyDescent="0.3">
      <c r="A580" s="1">
        <v>46088</v>
      </c>
      <c r="B580" t="s">
        <v>9</v>
      </c>
      <c r="C580" t="s">
        <v>12</v>
      </c>
      <c r="D580" t="s">
        <v>11</v>
      </c>
      <c r="E580">
        <v>957</v>
      </c>
      <c r="F580">
        <v>14</v>
      </c>
      <c r="G580">
        <v>9</v>
      </c>
      <c r="H580">
        <v>943</v>
      </c>
      <c r="I580">
        <v>1.462904911180773</v>
      </c>
      <c r="J580">
        <v>98.537095088819228</v>
      </c>
      <c r="K580" t="str">
        <f>_xlfn.XLOOKUP(tblProduction[[#This Row],[Product]],tblProducts[Product],tblProducts[Category],"Not Found")</f>
        <v>Precision</v>
      </c>
      <c r="L580">
        <f>_xlfn.XLOOKUP(tblProduction[[#This Row],[Product]],tblProducts[Product],tblProducts[Target_Units],"Not Found")</f>
        <v>950</v>
      </c>
    </row>
    <row r="581" spans="1:12" x14ac:dyDescent="0.3">
      <c r="A581" s="1">
        <v>46088</v>
      </c>
      <c r="B581" t="s">
        <v>9</v>
      </c>
      <c r="C581" t="s">
        <v>13</v>
      </c>
      <c r="D581" t="s">
        <v>16</v>
      </c>
      <c r="E581">
        <v>882</v>
      </c>
      <c r="F581">
        <v>22</v>
      </c>
      <c r="G581">
        <v>25</v>
      </c>
      <c r="H581">
        <v>860</v>
      </c>
      <c r="I581">
        <v>2.4943310657596371</v>
      </c>
      <c r="J581">
        <v>97.505668934240362</v>
      </c>
      <c r="K581" t="str">
        <f>_xlfn.XLOOKUP(tblProduction[[#This Row],[Product]],tblProducts[Product],tblProducts[Category],"Not Found")</f>
        <v>Standard</v>
      </c>
      <c r="L581">
        <f>_xlfn.XLOOKUP(tblProduction[[#This Row],[Product]],tblProducts[Product],tblProducts[Target_Units],"Not Found")</f>
        <v>1000</v>
      </c>
    </row>
    <row r="582" spans="1:12" x14ac:dyDescent="0.3">
      <c r="A582" s="1">
        <v>46088</v>
      </c>
      <c r="B582" t="s">
        <v>15</v>
      </c>
      <c r="C582" t="s">
        <v>10</v>
      </c>
      <c r="D582" t="s">
        <v>14</v>
      </c>
      <c r="E582">
        <v>786</v>
      </c>
      <c r="F582">
        <v>25</v>
      </c>
      <c r="G582">
        <v>19</v>
      </c>
      <c r="H582">
        <v>761</v>
      </c>
      <c r="I582">
        <v>3.1806615776081419</v>
      </c>
      <c r="J582">
        <v>96.819338422391851</v>
      </c>
      <c r="K582" t="str">
        <f>_xlfn.XLOOKUP(tblProduction[[#This Row],[Product]],tblProducts[Product],tblProducts[Category],"Not Found")</f>
        <v>Assembly</v>
      </c>
      <c r="L582">
        <f>_xlfn.XLOOKUP(tblProduction[[#This Row],[Product]],tblProducts[Product],tblProducts[Target_Units],"Not Found")</f>
        <v>850</v>
      </c>
    </row>
    <row r="583" spans="1:12" x14ac:dyDescent="0.3">
      <c r="A583" s="1">
        <v>46088</v>
      </c>
      <c r="B583" t="s">
        <v>15</v>
      </c>
      <c r="C583" t="s">
        <v>12</v>
      </c>
      <c r="D583" t="s">
        <v>14</v>
      </c>
      <c r="E583">
        <v>713</v>
      </c>
      <c r="F583">
        <v>23</v>
      </c>
      <c r="G583">
        <v>70</v>
      </c>
      <c r="H583">
        <v>690</v>
      </c>
      <c r="I583">
        <v>3.225806451612903</v>
      </c>
      <c r="J583">
        <v>96.774193548387103</v>
      </c>
      <c r="K583" t="str">
        <f>_xlfn.XLOOKUP(tblProduction[[#This Row],[Product]],tblProducts[Product],tblProducts[Category],"Not Found")</f>
        <v>Assembly</v>
      </c>
      <c r="L583">
        <f>_xlfn.XLOOKUP(tblProduction[[#This Row],[Product]],tblProducts[Product],tblProducts[Target_Units],"Not Found")</f>
        <v>850</v>
      </c>
    </row>
    <row r="584" spans="1:12" x14ac:dyDescent="0.3">
      <c r="A584" s="1">
        <v>46088</v>
      </c>
      <c r="B584" t="s">
        <v>15</v>
      </c>
      <c r="C584" t="s">
        <v>13</v>
      </c>
      <c r="D584" t="s">
        <v>11</v>
      </c>
      <c r="E584">
        <v>746</v>
      </c>
      <c r="F584">
        <v>26</v>
      </c>
      <c r="G584">
        <v>84</v>
      </c>
      <c r="H584">
        <v>720</v>
      </c>
      <c r="I584">
        <v>3.4852546916890081</v>
      </c>
      <c r="J584">
        <v>96.514745308310992</v>
      </c>
      <c r="K584" t="str">
        <f>_xlfn.XLOOKUP(tblProduction[[#This Row],[Product]],tblProducts[Product],tblProducts[Category],"Not Found")</f>
        <v>Precision</v>
      </c>
      <c r="L584">
        <f>_xlfn.XLOOKUP(tblProduction[[#This Row],[Product]],tblProducts[Product],tblProducts[Target_Units],"Not Found")</f>
        <v>950</v>
      </c>
    </row>
    <row r="585" spans="1:12" x14ac:dyDescent="0.3">
      <c r="A585" s="1">
        <v>46088</v>
      </c>
      <c r="B585" t="s">
        <v>17</v>
      </c>
      <c r="C585" t="s">
        <v>10</v>
      </c>
      <c r="D585" t="s">
        <v>18</v>
      </c>
      <c r="E585">
        <v>721</v>
      </c>
      <c r="F585">
        <v>25</v>
      </c>
      <c r="G585">
        <v>50</v>
      </c>
      <c r="H585">
        <v>696</v>
      </c>
      <c r="I585">
        <v>3.467406380027739</v>
      </c>
      <c r="J585">
        <v>96.532593619972261</v>
      </c>
      <c r="K585" t="str">
        <f>_xlfn.XLOOKUP(tblProduction[[#This Row],[Product]],tblProducts[Product],tblProducts[Category],"Not Found")</f>
        <v>Assembly</v>
      </c>
      <c r="L585">
        <f>_xlfn.XLOOKUP(tblProduction[[#This Row],[Product]],tblProducts[Product],tblProducts[Target_Units],"Not Found")</f>
        <v>900</v>
      </c>
    </row>
    <row r="586" spans="1:12" x14ac:dyDescent="0.3">
      <c r="A586" s="1">
        <v>46088</v>
      </c>
      <c r="B586" t="s">
        <v>17</v>
      </c>
      <c r="C586" t="s">
        <v>12</v>
      </c>
      <c r="D586" t="s">
        <v>14</v>
      </c>
      <c r="E586">
        <v>680</v>
      </c>
      <c r="F586">
        <v>29</v>
      </c>
      <c r="G586">
        <v>16</v>
      </c>
      <c r="H586">
        <v>651</v>
      </c>
      <c r="I586">
        <v>4.2647058823529411</v>
      </c>
      <c r="J586">
        <v>95.735294117647058</v>
      </c>
      <c r="K586" t="str">
        <f>_xlfn.XLOOKUP(tblProduction[[#This Row],[Product]],tblProducts[Product],tblProducts[Category],"Not Found")</f>
        <v>Assembly</v>
      </c>
      <c r="L586">
        <f>_xlfn.XLOOKUP(tblProduction[[#This Row],[Product]],tblProducts[Product],tblProducts[Target_Units],"Not Found")</f>
        <v>850</v>
      </c>
    </row>
    <row r="587" spans="1:12" x14ac:dyDescent="0.3">
      <c r="A587" s="1">
        <v>46088</v>
      </c>
      <c r="B587" t="s">
        <v>17</v>
      </c>
      <c r="C587" t="s">
        <v>13</v>
      </c>
      <c r="D587" t="s">
        <v>16</v>
      </c>
      <c r="E587">
        <v>647</v>
      </c>
      <c r="F587">
        <v>29</v>
      </c>
      <c r="G587">
        <v>90</v>
      </c>
      <c r="H587">
        <v>618</v>
      </c>
      <c r="I587">
        <v>4.4822256568778984</v>
      </c>
      <c r="J587">
        <v>95.517774343122099</v>
      </c>
      <c r="K587" t="str">
        <f>_xlfn.XLOOKUP(tblProduction[[#This Row],[Product]],tblProducts[Product],tblProducts[Category],"Not Found")</f>
        <v>Standard</v>
      </c>
      <c r="L587">
        <f>_xlfn.XLOOKUP(tblProduction[[#This Row],[Product]],tblProducts[Product],tblProducts[Target_Units],"Not Found")</f>
        <v>1000</v>
      </c>
    </row>
    <row r="588" spans="1:12" x14ac:dyDescent="0.3">
      <c r="A588" s="1">
        <v>46089</v>
      </c>
      <c r="B588" t="s">
        <v>9</v>
      </c>
      <c r="C588" t="s">
        <v>10</v>
      </c>
      <c r="D588" t="s">
        <v>18</v>
      </c>
      <c r="E588">
        <v>964</v>
      </c>
      <c r="F588">
        <v>14</v>
      </c>
      <c r="G588">
        <v>32</v>
      </c>
      <c r="H588">
        <v>950</v>
      </c>
      <c r="I588">
        <v>1.4522821576763481</v>
      </c>
      <c r="J588">
        <v>98.547717842323664</v>
      </c>
      <c r="K588" t="str">
        <f>_xlfn.XLOOKUP(tblProduction[[#This Row],[Product]],tblProducts[Product],tblProducts[Category],"Not Found")</f>
        <v>Assembly</v>
      </c>
      <c r="L588">
        <f>_xlfn.XLOOKUP(tblProduction[[#This Row],[Product]],tblProducts[Product],tblProducts[Target_Units],"Not Found")</f>
        <v>900</v>
      </c>
    </row>
    <row r="589" spans="1:12" x14ac:dyDescent="0.3">
      <c r="A589" s="1">
        <v>46089</v>
      </c>
      <c r="B589" t="s">
        <v>9</v>
      </c>
      <c r="C589" t="s">
        <v>12</v>
      </c>
      <c r="D589" t="s">
        <v>16</v>
      </c>
      <c r="E589">
        <v>977</v>
      </c>
      <c r="F589">
        <v>14</v>
      </c>
      <c r="G589">
        <v>33</v>
      </c>
      <c r="H589">
        <v>963</v>
      </c>
      <c r="I589">
        <v>1.432958034800409</v>
      </c>
      <c r="J589">
        <v>98.567041965199593</v>
      </c>
      <c r="K589" t="str">
        <f>_xlfn.XLOOKUP(tblProduction[[#This Row],[Product]],tblProducts[Product],tblProducts[Category],"Not Found")</f>
        <v>Standard</v>
      </c>
      <c r="L589">
        <f>_xlfn.XLOOKUP(tblProduction[[#This Row],[Product]],tblProducts[Product],tblProducts[Target_Units],"Not Found")</f>
        <v>1000</v>
      </c>
    </row>
    <row r="590" spans="1:12" x14ac:dyDescent="0.3">
      <c r="A590" s="1">
        <v>46089</v>
      </c>
      <c r="B590" t="s">
        <v>9</v>
      </c>
      <c r="C590" t="s">
        <v>13</v>
      </c>
      <c r="D590" t="s">
        <v>18</v>
      </c>
      <c r="E590">
        <v>801</v>
      </c>
      <c r="F590">
        <v>20</v>
      </c>
      <c r="G590">
        <v>66</v>
      </c>
      <c r="H590">
        <v>781</v>
      </c>
      <c r="I590">
        <v>2.4968789013732828</v>
      </c>
      <c r="J590">
        <v>97.503121098626721</v>
      </c>
      <c r="K590" t="str">
        <f>_xlfn.XLOOKUP(tblProduction[[#This Row],[Product]],tblProducts[Product],tblProducts[Category],"Not Found")</f>
        <v>Assembly</v>
      </c>
      <c r="L590">
        <f>_xlfn.XLOOKUP(tblProduction[[#This Row],[Product]],tblProducts[Product],tblProducts[Target_Units],"Not Found")</f>
        <v>900</v>
      </c>
    </row>
    <row r="591" spans="1:12" x14ac:dyDescent="0.3">
      <c r="A591" s="1">
        <v>46089</v>
      </c>
      <c r="B591" t="s">
        <v>15</v>
      </c>
      <c r="C591" t="s">
        <v>10</v>
      </c>
      <c r="D591" t="s">
        <v>18</v>
      </c>
      <c r="E591">
        <v>855</v>
      </c>
      <c r="F591">
        <v>21</v>
      </c>
      <c r="G591">
        <v>22</v>
      </c>
      <c r="H591">
        <v>834</v>
      </c>
      <c r="I591">
        <v>2.4561403508771931</v>
      </c>
      <c r="J591">
        <v>97.543859649122808</v>
      </c>
      <c r="K591" t="str">
        <f>_xlfn.XLOOKUP(tblProduction[[#This Row],[Product]],tblProducts[Product],tblProducts[Category],"Not Found")</f>
        <v>Assembly</v>
      </c>
      <c r="L591">
        <f>_xlfn.XLOOKUP(tblProduction[[#This Row],[Product]],tblProducts[Product],tblProducts[Target_Units],"Not Found")</f>
        <v>900</v>
      </c>
    </row>
    <row r="592" spans="1:12" x14ac:dyDescent="0.3">
      <c r="A592" s="1">
        <v>46089</v>
      </c>
      <c r="B592" t="s">
        <v>15</v>
      </c>
      <c r="C592" t="s">
        <v>12</v>
      </c>
      <c r="D592" t="s">
        <v>11</v>
      </c>
      <c r="E592">
        <v>848</v>
      </c>
      <c r="F592">
        <v>21</v>
      </c>
      <c r="G592">
        <v>57</v>
      </c>
      <c r="H592">
        <v>827</v>
      </c>
      <c r="I592">
        <v>2.476415094339623</v>
      </c>
      <c r="J592">
        <v>97.523584905660371</v>
      </c>
      <c r="K592" t="str">
        <f>_xlfn.XLOOKUP(tblProduction[[#This Row],[Product]],tblProducts[Product],tblProducts[Category],"Not Found")</f>
        <v>Precision</v>
      </c>
      <c r="L592">
        <f>_xlfn.XLOOKUP(tblProduction[[#This Row],[Product]],tblProducts[Product],tblProducts[Target_Units],"Not Found")</f>
        <v>950</v>
      </c>
    </row>
    <row r="593" spans="1:12" x14ac:dyDescent="0.3">
      <c r="A593" s="1">
        <v>46089</v>
      </c>
      <c r="B593" t="s">
        <v>15</v>
      </c>
      <c r="C593" t="s">
        <v>13</v>
      </c>
      <c r="D593" t="s">
        <v>11</v>
      </c>
      <c r="E593">
        <v>745</v>
      </c>
      <c r="F593">
        <v>26</v>
      </c>
      <c r="G593">
        <v>75</v>
      </c>
      <c r="H593">
        <v>719</v>
      </c>
      <c r="I593">
        <v>3.4899328859060401</v>
      </c>
      <c r="J593">
        <v>96.510067114093957</v>
      </c>
      <c r="K593" t="str">
        <f>_xlfn.XLOOKUP(tblProduction[[#This Row],[Product]],tblProducts[Product],tblProducts[Category],"Not Found")</f>
        <v>Precision</v>
      </c>
      <c r="L593">
        <f>_xlfn.XLOOKUP(tblProduction[[#This Row],[Product]],tblProducts[Product],tblProducts[Target_Units],"Not Found")</f>
        <v>950</v>
      </c>
    </row>
    <row r="594" spans="1:12" x14ac:dyDescent="0.3">
      <c r="A594" s="1">
        <v>46089</v>
      </c>
      <c r="B594" t="s">
        <v>17</v>
      </c>
      <c r="C594" t="s">
        <v>10</v>
      </c>
      <c r="D594" t="s">
        <v>18</v>
      </c>
      <c r="E594">
        <v>716</v>
      </c>
      <c r="F594">
        <v>25</v>
      </c>
      <c r="G594">
        <v>43</v>
      </c>
      <c r="H594">
        <v>691</v>
      </c>
      <c r="I594">
        <v>3.4916201117318439</v>
      </c>
      <c r="J594">
        <v>96.508379888268152</v>
      </c>
      <c r="K594" t="str">
        <f>_xlfn.XLOOKUP(tblProduction[[#This Row],[Product]],tblProducts[Product],tblProducts[Category],"Not Found")</f>
        <v>Assembly</v>
      </c>
      <c r="L594">
        <f>_xlfn.XLOOKUP(tblProduction[[#This Row],[Product]],tblProducts[Product],tblProducts[Target_Units],"Not Found")</f>
        <v>900</v>
      </c>
    </row>
    <row r="595" spans="1:12" x14ac:dyDescent="0.3">
      <c r="A595" s="1">
        <v>46089</v>
      </c>
      <c r="B595" t="s">
        <v>17</v>
      </c>
      <c r="C595" t="s">
        <v>12</v>
      </c>
      <c r="D595" t="s">
        <v>16</v>
      </c>
      <c r="E595">
        <v>806</v>
      </c>
      <c r="F595">
        <v>28</v>
      </c>
      <c r="G595">
        <v>6</v>
      </c>
      <c r="H595">
        <v>778</v>
      </c>
      <c r="I595">
        <v>3.4739454094292812</v>
      </c>
      <c r="J595">
        <v>96.526054590570723</v>
      </c>
      <c r="K595" t="str">
        <f>_xlfn.XLOOKUP(tblProduction[[#This Row],[Product]],tblProducts[Product],tblProducts[Category],"Not Found")</f>
        <v>Standard</v>
      </c>
      <c r="L595">
        <f>_xlfn.XLOOKUP(tblProduction[[#This Row],[Product]],tblProducts[Product],tblProducts[Target_Units],"Not Found")</f>
        <v>1000</v>
      </c>
    </row>
    <row r="596" spans="1:12" x14ac:dyDescent="0.3">
      <c r="A596" s="1">
        <v>46089</v>
      </c>
      <c r="B596" t="s">
        <v>17</v>
      </c>
      <c r="C596" t="s">
        <v>13</v>
      </c>
      <c r="D596" t="s">
        <v>16</v>
      </c>
      <c r="E596">
        <v>706</v>
      </c>
      <c r="F596">
        <v>31</v>
      </c>
      <c r="G596">
        <v>84</v>
      </c>
      <c r="H596">
        <v>675</v>
      </c>
      <c r="I596">
        <v>4.3909348441926346</v>
      </c>
      <c r="J596">
        <v>95.609065155807357</v>
      </c>
      <c r="K596" t="str">
        <f>_xlfn.XLOOKUP(tblProduction[[#This Row],[Product]],tblProducts[Product],tblProducts[Category],"Not Found")</f>
        <v>Standard</v>
      </c>
      <c r="L596">
        <f>_xlfn.XLOOKUP(tblProduction[[#This Row],[Product]],tblProducts[Product],tblProducts[Target_Units],"Not Found")</f>
        <v>1000</v>
      </c>
    </row>
    <row r="597" spans="1:12" x14ac:dyDescent="0.3">
      <c r="A597" s="1">
        <v>46090</v>
      </c>
      <c r="B597" t="s">
        <v>9</v>
      </c>
      <c r="C597" t="s">
        <v>10</v>
      </c>
      <c r="D597" t="s">
        <v>14</v>
      </c>
      <c r="E597">
        <v>814</v>
      </c>
      <c r="F597">
        <v>18</v>
      </c>
      <c r="G597">
        <v>66</v>
      </c>
      <c r="H597">
        <v>796</v>
      </c>
      <c r="I597">
        <v>2.2113022113022112</v>
      </c>
      <c r="J597">
        <v>97.788697788697789</v>
      </c>
      <c r="K597" t="str">
        <f>_xlfn.XLOOKUP(tblProduction[[#This Row],[Product]],tblProducts[Product],tblProducts[Category],"Not Found")</f>
        <v>Assembly</v>
      </c>
      <c r="L597">
        <f>_xlfn.XLOOKUP(tblProduction[[#This Row],[Product]],tblProducts[Product],tblProducts[Target_Units],"Not Found")</f>
        <v>850</v>
      </c>
    </row>
    <row r="598" spans="1:12" x14ac:dyDescent="0.3">
      <c r="A598" s="1">
        <v>46090</v>
      </c>
      <c r="B598" t="s">
        <v>9</v>
      </c>
      <c r="C598" t="s">
        <v>12</v>
      </c>
      <c r="D598" t="s">
        <v>16</v>
      </c>
      <c r="E598">
        <v>938</v>
      </c>
      <c r="F598">
        <v>14</v>
      </c>
      <c r="G598">
        <v>74</v>
      </c>
      <c r="H598">
        <v>924</v>
      </c>
      <c r="I598">
        <v>1.4925373134328359</v>
      </c>
      <c r="J598">
        <v>98.507462686567166</v>
      </c>
      <c r="K598" t="str">
        <f>_xlfn.XLOOKUP(tblProduction[[#This Row],[Product]],tblProducts[Product],tblProducts[Category],"Not Found")</f>
        <v>Standard</v>
      </c>
      <c r="L598">
        <f>_xlfn.XLOOKUP(tblProduction[[#This Row],[Product]],tblProducts[Product],tblProducts[Target_Units],"Not Found")</f>
        <v>1000</v>
      </c>
    </row>
    <row r="599" spans="1:12" x14ac:dyDescent="0.3">
      <c r="A599" s="1">
        <v>46090</v>
      </c>
      <c r="B599" t="s">
        <v>9</v>
      </c>
      <c r="C599" t="s">
        <v>13</v>
      </c>
      <c r="D599" t="s">
        <v>16</v>
      </c>
      <c r="E599">
        <v>837</v>
      </c>
      <c r="F599">
        <v>20</v>
      </c>
      <c r="G599">
        <v>81</v>
      </c>
      <c r="H599">
        <v>817</v>
      </c>
      <c r="I599">
        <v>2.389486260454003</v>
      </c>
      <c r="J599">
        <v>97.610513739546008</v>
      </c>
      <c r="K599" t="str">
        <f>_xlfn.XLOOKUP(tblProduction[[#This Row],[Product]],tblProducts[Product],tblProducts[Category],"Not Found")</f>
        <v>Standard</v>
      </c>
      <c r="L599">
        <f>_xlfn.XLOOKUP(tblProduction[[#This Row],[Product]],tblProducts[Product],tblProducts[Target_Units],"Not Found")</f>
        <v>1000</v>
      </c>
    </row>
    <row r="600" spans="1:12" x14ac:dyDescent="0.3">
      <c r="A600" s="1">
        <v>46090</v>
      </c>
      <c r="B600" t="s">
        <v>15</v>
      </c>
      <c r="C600" t="s">
        <v>10</v>
      </c>
      <c r="D600" t="s">
        <v>14</v>
      </c>
      <c r="E600">
        <v>803</v>
      </c>
      <c r="F600">
        <v>26</v>
      </c>
      <c r="G600">
        <v>40</v>
      </c>
      <c r="H600">
        <v>777</v>
      </c>
      <c r="I600">
        <v>3.2378580323785799</v>
      </c>
      <c r="J600">
        <v>96.762141967621417</v>
      </c>
      <c r="K600" t="str">
        <f>_xlfn.XLOOKUP(tblProduction[[#This Row],[Product]],tblProducts[Product],tblProducts[Category],"Not Found")</f>
        <v>Assembly</v>
      </c>
      <c r="L600">
        <f>_xlfn.XLOOKUP(tblProduction[[#This Row],[Product]],tblProducts[Product],tblProducts[Target_Units],"Not Found")</f>
        <v>850</v>
      </c>
    </row>
    <row r="601" spans="1:12" x14ac:dyDescent="0.3">
      <c r="A601" s="1">
        <v>46090</v>
      </c>
      <c r="B601" t="s">
        <v>15</v>
      </c>
      <c r="C601" t="s">
        <v>12</v>
      </c>
      <c r="D601" t="s">
        <v>18</v>
      </c>
      <c r="E601">
        <v>822</v>
      </c>
      <c r="F601">
        <v>20</v>
      </c>
      <c r="G601">
        <v>42</v>
      </c>
      <c r="H601">
        <v>802</v>
      </c>
      <c r="I601">
        <v>2.4330900243308999</v>
      </c>
      <c r="J601">
        <v>97.566909975669105</v>
      </c>
      <c r="K601" t="str">
        <f>_xlfn.XLOOKUP(tblProduction[[#This Row],[Product]],tblProducts[Product],tblProducts[Category],"Not Found")</f>
        <v>Assembly</v>
      </c>
      <c r="L601">
        <f>_xlfn.XLOOKUP(tblProduction[[#This Row],[Product]],tblProducts[Product],tblProducts[Target_Units],"Not Found")</f>
        <v>900</v>
      </c>
    </row>
    <row r="602" spans="1:12" x14ac:dyDescent="0.3">
      <c r="A602" s="1">
        <v>46090</v>
      </c>
      <c r="B602" t="s">
        <v>15</v>
      </c>
      <c r="C602" t="s">
        <v>13</v>
      </c>
      <c r="D602" t="s">
        <v>11</v>
      </c>
      <c r="E602">
        <v>819</v>
      </c>
      <c r="F602">
        <v>28</v>
      </c>
      <c r="G602">
        <v>11</v>
      </c>
      <c r="H602">
        <v>791</v>
      </c>
      <c r="I602">
        <v>3.4188034188034191</v>
      </c>
      <c r="J602">
        <v>96.581196581196579</v>
      </c>
      <c r="K602" t="str">
        <f>_xlfn.XLOOKUP(tblProduction[[#This Row],[Product]],tblProducts[Product],tblProducts[Category],"Not Found")</f>
        <v>Precision</v>
      </c>
      <c r="L602">
        <f>_xlfn.XLOOKUP(tblProduction[[#This Row],[Product]],tblProducts[Product],tblProducts[Target_Units],"Not Found")</f>
        <v>950</v>
      </c>
    </row>
    <row r="603" spans="1:12" x14ac:dyDescent="0.3">
      <c r="A603" s="1">
        <v>46090</v>
      </c>
      <c r="B603" t="s">
        <v>17</v>
      </c>
      <c r="C603" t="s">
        <v>10</v>
      </c>
      <c r="D603" t="s">
        <v>14</v>
      </c>
      <c r="E603">
        <v>717</v>
      </c>
      <c r="F603">
        <v>30</v>
      </c>
      <c r="G603">
        <v>26</v>
      </c>
      <c r="H603">
        <v>687</v>
      </c>
      <c r="I603">
        <v>4.1841004184100417</v>
      </c>
      <c r="J603">
        <v>95.81589958158996</v>
      </c>
      <c r="K603" t="str">
        <f>_xlfn.XLOOKUP(tblProduction[[#This Row],[Product]],tblProducts[Product],tblProducts[Category],"Not Found")</f>
        <v>Assembly</v>
      </c>
      <c r="L603">
        <f>_xlfn.XLOOKUP(tblProduction[[#This Row],[Product]],tblProducts[Product],tblProducts[Target_Units],"Not Found")</f>
        <v>850</v>
      </c>
    </row>
    <row r="604" spans="1:12" x14ac:dyDescent="0.3">
      <c r="A604" s="1">
        <v>46090</v>
      </c>
      <c r="B604" t="s">
        <v>17</v>
      </c>
      <c r="C604" t="s">
        <v>12</v>
      </c>
      <c r="D604" t="s">
        <v>11</v>
      </c>
      <c r="E604">
        <v>779</v>
      </c>
      <c r="F604">
        <v>27</v>
      </c>
      <c r="G604">
        <v>20</v>
      </c>
      <c r="H604">
        <v>752</v>
      </c>
      <c r="I604">
        <v>3.4659820282413349</v>
      </c>
      <c r="J604">
        <v>96.534017971758672</v>
      </c>
      <c r="K604" t="str">
        <f>_xlfn.XLOOKUP(tblProduction[[#This Row],[Product]],tblProducts[Product],tblProducts[Category],"Not Found")</f>
        <v>Precision</v>
      </c>
      <c r="L604">
        <f>_xlfn.XLOOKUP(tblProduction[[#This Row],[Product]],tblProducts[Product],tblProducts[Target_Units],"Not Found")</f>
        <v>950</v>
      </c>
    </row>
    <row r="605" spans="1:12" x14ac:dyDescent="0.3">
      <c r="A605" s="1">
        <v>46090</v>
      </c>
      <c r="B605" t="s">
        <v>17</v>
      </c>
      <c r="C605" t="s">
        <v>13</v>
      </c>
      <c r="D605" t="s">
        <v>18</v>
      </c>
      <c r="E605">
        <v>670</v>
      </c>
      <c r="F605">
        <v>30</v>
      </c>
      <c r="G605">
        <v>25</v>
      </c>
      <c r="H605">
        <v>640</v>
      </c>
      <c r="I605">
        <v>4.4776119402985071</v>
      </c>
      <c r="J605">
        <v>95.522388059701484</v>
      </c>
      <c r="K605" t="str">
        <f>_xlfn.XLOOKUP(tblProduction[[#This Row],[Product]],tblProducts[Product],tblProducts[Category],"Not Found")</f>
        <v>Assembly</v>
      </c>
      <c r="L605">
        <f>_xlfn.XLOOKUP(tblProduction[[#This Row],[Product]],tblProducts[Product],tblProducts[Target_Units],"Not Found")</f>
        <v>900</v>
      </c>
    </row>
    <row r="606" spans="1:12" x14ac:dyDescent="0.3">
      <c r="A606" s="1">
        <v>46091</v>
      </c>
      <c r="B606" t="s">
        <v>9</v>
      </c>
      <c r="C606" t="s">
        <v>10</v>
      </c>
      <c r="D606" t="s">
        <v>14</v>
      </c>
      <c r="E606">
        <v>851</v>
      </c>
      <c r="F606">
        <v>19</v>
      </c>
      <c r="G606">
        <v>38</v>
      </c>
      <c r="H606">
        <v>832</v>
      </c>
      <c r="I606">
        <v>2.232667450058754</v>
      </c>
      <c r="J606">
        <v>97.767332549941244</v>
      </c>
      <c r="K606" t="str">
        <f>_xlfn.XLOOKUP(tblProduction[[#This Row],[Product]],tblProducts[Product],tblProducts[Category],"Not Found")</f>
        <v>Assembly</v>
      </c>
      <c r="L606">
        <f>_xlfn.XLOOKUP(tblProduction[[#This Row],[Product]],tblProducts[Product],tblProducts[Target_Units],"Not Found")</f>
        <v>850</v>
      </c>
    </row>
    <row r="607" spans="1:12" x14ac:dyDescent="0.3">
      <c r="A607" s="1">
        <v>46091</v>
      </c>
      <c r="B607" t="s">
        <v>9</v>
      </c>
      <c r="C607" t="s">
        <v>12</v>
      </c>
      <c r="D607" t="s">
        <v>14</v>
      </c>
      <c r="E607">
        <v>806</v>
      </c>
      <c r="F607">
        <v>18</v>
      </c>
      <c r="G607">
        <v>62</v>
      </c>
      <c r="H607">
        <v>788</v>
      </c>
      <c r="I607">
        <v>2.2332506203473939</v>
      </c>
      <c r="J607">
        <v>97.766749379652609</v>
      </c>
      <c r="K607" t="str">
        <f>_xlfn.XLOOKUP(tblProduction[[#This Row],[Product]],tblProducts[Product],tblProducts[Category],"Not Found")</f>
        <v>Assembly</v>
      </c>
      <c r="L607">
        <f>_xlfn.XLOOKUP(tblProduction[[#This Row],[Product]],tblProducts[Product],tblProducts[Target_Units],"Not Found")</f>
        <v>850</v>
      </c>
    </row>
    <row r="608" spans="1:12" x14ac:dyDescent="0.3">
      <c r="A608" s="1">
        <v>46091</v>
      </c>
      <c r="B608" t="s">
        <v>9</v>
      </c>
      <c r="C608" t="s">
        <v>13</v>
      </c>
      <c r="D608" t="s">
        <v>18</v>
      </c>
      <c r="E608">
        <v>787</v>
      </c>
      <c r="F608">
        <v>19</v>
      </c>
      <c r="G608">
        <v>45</v>
      </c>
      <c r="H608">
        <v>768</v>
      </c>
      <c r="I608">
        <v>2.4142312579415499</v>
      </c>
      <c r="J608">
        <v>97.585768742058448</v>
      </c>
      <c r="K608" t="str">
        <f>_xlfn.XLOOKUP(tblProduction[[#This Row],[Product]],tblProducts[Product],tblProducts[Category],"Not Found")</f>
        <v>Assembly</v>
      </c>
      <c r="L608">
        <f>_xlfn.XLOOKUP(tblProduction[[#This Row],[Product]],tblProducts[Product],tblProducts[Target_Units],"Not Found")</f>
        <v>900</v>
      </c>
    </row>
    <row r="609" spans="1:12" x14ac:dyDescent="0.3">
      <c r="A609" s="1">
        <v>46091</v>
      </c>
      <c r="B609" t="s">
        <v>15</v>
      </c>
      <c r="C609" t="s">
        <v>10</v>
      </c>
      <c r="D609" t="s">
        <v>18</v>
      </c>
      <c r="E609">
        <v>908</v>
      </c>
      <c r="F609">
        <v>22</v>
      </c>
      <c r="G609">
        <v>17</v>
      </c>
      <c r="H609">
        <v>886</v>
      </c>
      <c r="I609">
        <v>2.4229074889867839</v>
      </c>
      <c r="J609">
        <v>97.57709251101322</v>
      </c>
      <c r="K609" t="str">
        <f>_xlfn.XLOOKUP(tblProduction[[#This Row],[Product]],tblProducts[Product],tblProducts[Category],"Not Found")</f>
        <v>Assembly</v>
      </c>
      <c r="L609">
        <f>_xlfn.XLOOKUP(tblProduction[[#This Row],[Product]],tblProducts[Product],tblProducts[Target_Units],"Not Found")</f>
        <v>900</v>
      </c>
    </row>
    <row r="610" spans="1:12" x14ac:dyDescent="0.3">
      <c r="A610" s="1">
        <v>46091</v>
      </c>
      <c r="B610" t="s">
        <v>15</v>
      </c>
      <c r="C610" t="s">
        <v>12</v>
      </c>
      <c r="D610" t="s">
        <v>16</v>
      </c>
      <c r="E610">
        <v>797</v>
      </c>
      <c r="F610">
        <v>19</v>
      </c>
      <c r="G610">
        <v>89</v>
      </c>
      <c r="H610">
        <v>778</v>
      </c>
      <c r="I610">
        <v>2.3839397741530739</v>
      </c>
      <c r="J610">
        <v>97.616060225846923</v>
      </c>
      <c r="K610" t="str">
        <f>_xlfn.XLOOKUP(tblProduction[[#This Row],[Product]],tblProducts[Product],tblProducts[Category],"Not Found")</f>
        <v>Standard</v>
      </c>
      <c r="L610">
        <f>_xlfn.XLOOKUP(tblProduction[[#This Row],[Product]],tblProducts[Product],tblProducts[Target_Units],"Not Found")</f>
        <v>1000</v>
      </c>
    </row>
    <row r="611" spans="1:12" x14ac:dyDescent="0.3">
      <c r="A611" s="1">
        <v>46091</v>
      </c>
      <c r="B611" t="s">
        <v>15</v>
      </c>
      <c r="C611" t="s">
        <v>13</v>
      </c>
      <c r="D611" t="s">
        <v>18</v>
      </c>
      <c r="E611">
        <v>748</v>
      </c>
      <c r="F611">
        <v>26</v>
      </c>
      <c r="G611">
        <v>36</v>
      </c>
      <c r="H611">
        <v>722</v>
      </c>
      <c r="I611">
        <v>3.475935828877005</v>
      </c>
      <c r="J611">
        <v>96.524064171122987</v>
      </c>
      <c r="K611" t="str">
        <f>_xlfn.XLOOKUP(tblProduction[[#This Row],[Product]],tblProducts[Product],tblProducts[Category],"Not Found")</f>
        <v>Assembly</v>
      </c>
      <c r="L611">
        <f>_xlfn.XLOOKUP(tblProduction[[#This Row],[Product]],tblProducts[Product],tblProducts[Target_Units],"Not Found")</f>
        <v>900</v>
      </c>
    </row>
    <row r="612" spans="1:12" x14ac:dyDescent="0.3">
      <c r="A612" s="1">
        <v>46091</v>
      </c>
      <c r="B612" t="s">
        <v>17</v>
      </c>
      <c r="C612" t="s">
        <v>10</v>
      </c>
      <c r="D612" t="s">
        <v>11</v>
      </c>
      <c r="E612">
        <v>764</v>
      </c>
      <c r="F612">
        <v>26</v>
      </c>
      <c r="G612">
        <v>61</v>
      </c>
      <c r="H612">
        <v>738</v>
      </c>
      <c r="I612">
        <v>3.403141361256544</v>
      </c>
      <c r="J612">
        <v>96.596858638743456</v>
      </c>
      <c r="K612" t="str">
        <f>_xlfn.XLOOKUP(tblProduction[[#This Row],[Product]],tblProducts[Product],tblProducts[Category],"Not Found")</f>
        <v>Precision</v>
      </c>
      <c r="L612">
        <f>_xlfn.XLOOKUP(tblProduction[[#This Row],[Product]],tblProducts[Product],tblProducts[Target_Units],"Not Found")</f>
        <v>950</v>
      </c>
    </row>
    <row r="613" spans="1:12" x14ac:dyDescent="0.3">
      <c r="A613" s="1">
        <v>46091</v>
      </c>
      <c r="B613" t="s">
        <v>17</v>
      </c>
      <c r="C613" t="s">
        <v>12</v>
      </c>
      <c r="D613" t="s">
        <v>18</v>
      </c>
      <c r="E613">
        <v>657</v>
      </c>
      <c r="F613">
        <v>22</v>
      </c>
      <c r="G613">
        <v>75</v>
      </c>
      <c r="H613">
        <v>635</v>
      </c>
      <c r="I613">
        <v>3.3485540334855401</v>
      </c>
      <c r="J613">
        <v>96.651445966514459</v>
      </c>
      <c r="K613" t="str">
        <f>_xlfn.XLOOKUP(tblProduction[[#This Row],[Product]],tblProducts[Product],tblProducts[Category],"Not Found")</f>
        <v>Assembly</v>
      </c>
      <c r="L613">
        <f>_xlfn.XLOOKUP(tblProduction[[#This Row],[Product]],tblProducts[Product],tblProducts[Target_Units],"Not Found")</f>
        <v>900</v>
      </c>
    </row>
    <row r="614" spans="1:12" x14ac:dyDescent="0.3">
      <c r="A614" s="1">
        <v>46091</v>
      </c>
      <c r="B614" t="s">
        <v>17</v>
      </c>
      <c r="C614" t="s">
        <v>13</v>
      </c>
      <c r="D614" t="s">
        <v>14</v>
      </c>
      <c r="E614">
        <v>697</v>
      </c>
      <c r="F614">
        <v>36</v>
      </c>
      <c r="G614">
        <v>7</v>
      </c>
      <c r="H614">
        <v>661</v>
      </c>
      <c r="I614">
        <v>5.1649928263988523</v>
      </c>
      <c r="J614">
        <v>94.835007173601156</v>
      </c>
      <c r="K614" t="str">
        <f>_xlfn.XLOOKUP(tblProduction[[#This Row],[Product]],tblProducts[Product],tblProducts[Category],"Not Found")</f>
        <v>Assembly</v>
      </c>
      <c r="L614">
        <f>_xlfn.XLOOKUP(tblProduction[[#This Row],[Product]],tblProducts[Product],tblProducts[Target_Units],"Not Found")</f>
        <v>850</v>
      </c>
    </row>
    <row r="615" spans="1:12" x14ac:dyDescent="0.3">
      <c r="A615" s="1">
        <v>46092</v>
      </c>
      <c r="B615" t="s">
        <v>9</v>
      </c>
      <c r="C615" t="s">
        <v>10</v>
      </c>
      <c r="D615" t="s">
        <v>16</v>
      </c>
      <c r="E615">
        <v>956</v>
      </c>
      <c r="F615">
        <v>14</v>
      </c>
      <c r="G615">
        <v>71</v>
      </c>
      <c r="H615">
        <v>942</v>
      </c>
      <c r="I615">
        <v>1.464435146443515</v>
      </c>
      <c r="J615">
        <v>98.535564853556494</v>
      </c>
      <c r="K615" t="str">
        <f>_xlfn.XLOOKUP(tblProduction[[#This Row],[Product]],tblProducts[Product],tblProducts[Category],"Not Found")</f>
        <v>Standard</v>
      </c>
      <c r="L615">
        <f>_xlfn.XLOOKUP(tblProduction[[#This Row],[Product]],tblProducts[Product],tblProducts[Target_Units],"Not Found")</f>
        <v>1000</v>
      </c>
    </row>
    <row r="616" spans="1:12" x14ac:dyDescent="0.3">
      <c r="A616" s="1">
        <v>46092</v>
      </c>
      <c r="B616" t="s">
        <v>9</v>
      </c>
      <c r="C616" t="s">
        <v>12</v>
      </c>
      <c r="D616" t="s">
        <v>11</v>
      </c>
      <c r="E616">
        <v>986</v>
      </c>
      <c r="F616">
        <v>14</v>
      </c>
      <c r="G616">
        <v>14</v>
      </c>
      <c r="H616">
        <v>972</v>
      </c>
      <c r="I616">
        <v>1.419878296146045</v>
      </c>
      <c r="J616">
        <v>98.580121703853948</v>
      </c>
      <c r="K616" t="str">
        <f>_xlfn.XLOOKUP(tblProduction[[#This Row],[Product]],tblProducts[Product],tblProducts[Category],"Not Found")</f>
        <v>Precision</v>
      </c>
      <c r="L616">
        <f>_xlfn.XLOOKUP(tblProduction[[#This Row],[Product]],tblProducts[Product],tblProducts[Target_Units],"Not Found")</f>
        <v>950</v>
      </c>
    </row>
    <row r="617" spans="1:12" x14ac:dyDescent="0.3">
      <c r="A617" s="1">
        <v>46092</v>
      </c>
      <c r="B617" t="s">
        <v>9</v>
      </c>
      <c r="C617" t="s">
        <v>13</v>
      </c>
      <c r="D617" t="s">
        <v>16</v>
      </c>
      <c r="E617">
        <v>878</v>
      </c>
      <c r="F617">
        <v>21</v>
      </c>
      <c r="G617">
        <v>46</v>
      </c>
      <c r="H617">
        <v>857</v>
      </c>
      <c r="I617">
        <v>2.391799544419134</v>
      </c>
      <c r="J617">
        <v>97.608200455580857</v>
      </c>
      <c r="K617" t="str">
        <f>_xlfn.XLOOKUP(tblProduction[[#This Row],[Product]],tblProducts[Product],tblProducts[Category],"Not Found")</f>
        <v>Standard</v>
      </c>
      <c r="L617">
        <f>_xlfn.XLOOKUP(tblProduction[[#This Row],[Product]],tblProducts[Product],tblProducts[Target_Units],"Not Found")</f>
        <v>1000</v>
      </c>
    </row>
    <row r="618" spans="1:12" x14ac:dyDescent="0.3">
      <c r="A618" s="1">
        <v>46092</v>
      </c>
      <c r="B618" t="s">
        <v>15</v>
      </c>
      <c r="C618" t="s">
        <v>10</v>
      </c>
      <c r="D618" t="s">
        <v>11</v>
      </c>
      <c r="E618">
        <v>847</v>
      </c>
      <c r="F618">
        <v>21</v>
      </c>
      <c r="G618">
        <v>60</v>
      </c>
      <c r="H618">
        <v>826</v>
      </c>
      <c r="I618">
        <v>2.4793388429752068</v>
      </c>
      <c r="J618">
        <v>97.52066115702479</v>
      </c>
      <c r="K618" t="str">
        <f>_xlfn.XLOOKUP(tblProduction[[#This Row],[Product]],tblProducts[Product],tblProducts[Category],"Not Found")</f>
        <v>Precision</v>
      </c>
      <c r="L618">
        <f>_xlfn.XLOOKUP(tblProduction[[#This Row],[Product]],tblProducts[Product],tblProducts[Target_Units],"Not Found")</f>
        <v>950</v>
      </c>
    </row>
    <row r="619" spans="1:12" x14ac:dyDescent="0.3">
      <c r="A619" s="1">
        <v>46092</v>
      </c>
      <c r="B619" t="s">
        <v>15</v>
      </c>
      <c r="C619" t="s">
        <v>12</v>
      </c>
      <c r="D619" t="s">
        <v>16</v>
      </c>
      <c r="E619">
        <v>947</v>
      </c>
      <c r="F619">
        <v>23</v>
      </c>
      <c r="G619">
        <v>27</v>
      </c>
      <c r="H619">
        <v>924</v>
      </c>
      <c r="I619">
        <v>2.4287222808870119</v>
      </c>
      <c r="J619">
        <v>97.571277719112999</v>
      </c>
      <c r="K619" t="str">
        <f>_xlfn.XLOOKUP(tblProduction[[#This Row],[Product]],tblProducts[Product],tblProducts[Category],"Not Found")</f>
        <v>Standard</v>
      </c>
      <c r="L619">
        <f>_xlfn.XLOOKUP(tblProduction[[#This Row],[Product]],tblProducts[Product],tblProducts[Target_Units],"Not Found")</f>
        <v>1000</v>
      </c>
    </row>
    <row r="620" spans="1:12" x14ac:dyDescent="0.3">
      <c r="A620" s="1">
        <v>46092</v>
      </c>
      <c r="B620" t="s">
        <v>15</v>
      </c>
      <c r="C620" t="s">
        <v>13</v>
      </c>
      <c r="D620" t="s">
        <v>11</v>
      </c>
      <c r="E620">
        <v>834</v>
      </c>
      <c r="F620">
        <v>29</v>
      </c>
      <c r="G620">
        <v>11</v>
      </c>
      <c r="H620">
        <v>805</v>
      </c>
      <c r="I620">
        <v>3.477218225419664</v>
      </c>
      <c r="J620">
        <v>96.522781774580338</v>
      </c>
      <c r="K620" t="str">
        <f>_xlfn.XLOOKUP(tblProduction[[#This Row],[Product]],tblProducts[Product],tblProducts[Category],"Not Found")</f>
        <v>Precision</v>
      </c>
      <c r="L620">
        <f>_xlfn.XLOOKUP(tblProduction[[#This Row],[Product]],tblProducts[Product],tblProducts[Target_Units],"Not Found")</f>
        <v>950</v>
      </c>
    </row>
    <row r="621" spans="1:12" x14ac:dyDescent="0.3">
      <c r="A621" s="1">
        <v>46092</v>
      </c>
      <c r="B621" t="s">
        <v>17</v>
      </c>
      <c r="C621" t="s">
        <v>10</v>
      </c>
      <c r="D621" t="s">
        <v>14</v>
      </c>
      <c r="E621">
        <v>676</v>
      </c>
      <c r="F621">
        <v>29</v>
      </c>
      <c r="G621">
        <v>72</v>
      </c>
      <c r="H621">
        <v>647</v>
      </c>
      <c r="I621">
        <v>4.2899408284023668</v>
      </c>
      <c r="J621">
        <v>95.710059171597635</v>
      </c>
      <c r="K621" t="str">
        <f>_xlfn.XLOOKUP(tblProduction[[#This Row],[Product]],tblProducts[Product],tblProducts[Category],"Not Found")</f>
        <v>Assembly</v>
      </c>
      <c r="L621">
        <f>_xlfn.XLOOKUP(tblProduction[[#This Row],[Product]],tblProducts[Product],tblProducts[Target_Units],"Not Found")</f>
        <v>850</v>
      </c>
    </row>
    <row r="622" spans="1:12" x14ac:dyDescent="0.3">
      <c r="A622" s="1">
        <v>46092</v>
      </c>
      <c r="B622" t="s">
        <v>17</v>
      </c>
      <c r="C622" t="s">
        <v>12</v>
      </c>
      <c r="D622" t="s">
        <v>18</v>
      </c>
      <c r="E622">
        <v>745</v>
      </c>
      <c r="F622">
        <v>26</v>
      </c>
      <c r="G622">
        <v>24</v>
      </c>
      <c r="H622">
        <v>719</v>
      </c>
      <c r="I622">
        <v>3.4899328859060401</v>
      </c>
      <c r="J622">
        <v>96.510067114093957</v>
      </c>
      <c r="K622" t="str">
        <f>_xlfn.XLOOKUP(tblProduction[[#This Row],[Product]],tblProducts[Product],tblProducts[Category],"Not Found")</f>
        <v>Assembly</v>
      </c>
      <c r="L622">
        <f>_xlfn.XLOOKUP(tblProduction[[#This Row],[Product]],tblProducts[Product],tblProducts[Target_Units],"Not Found")</f>
        <v>900</v>
      </c>
    </row>
    <row r="623" spans="1:12" x14ac:dyDescent="0.3">
      <c r="A623" s="1">
        <v>46092</v>
      </c>
      <c r="B623" t="s">
        <v>17</v>
      </c>
      <c r="C623" t="s">
        <v>13</v>
      </c>
      <c r="D623" t="s">
        <v>14</v>
      </c>
      <c r="E623">
        <v>553</v>
      </c>
      <c r="F623">
        <v>29</v>
      </c>
      <c r="G623">
        <v>86</v>
      </c>
      <c r="H623">
        <v>524</v>
      </c>
      <c r="I623">
        <v>5.244122965641953</v>
      </c>
      <c r="J623">
        <v>94.755877034358051</v>
      </c>
      <c r="K623" t="str">
        <f>_xlfn.XLOOKUP(tblProduction[[#This Row],[Product]],tblProducts[Product],tblProducts[Category],"Not Found")</f>
        <v>Assembly</v>
      </c>
      <c r="L623">
        <f>_xlfn.XLOOKUP(tblProduction[[#This Row],[Product]],tblProducts[Product],tblProducts[Target_Units],"Not Found")</f>
        <v>850</v>
      </c>
    </row>
    <row r="624" spans="1:12" x14ac:dyDescent="0.3">
      <c r="A624" s="1">
        <v>46093</v>
      </c>
      <c r="B624" t="s">
        <v>9</v>
      </c>
      <c r="C624" t="s">
        <v>10</v>
      </c>
      <c r="D624" t="s">
        <v>14</v>
      </c>
      <c r="E624">
        <v>830</v>
      </c>
      <c r="F624">
        <v>19</v>
      </c>
      <c r="G624">
        <v>62</v>
      </c>
      <c r="H624">
        <v>811</v>
      </c>
      <c r="I624">
        <v>2.2891566265060241</v>
      </c>
      <c r="J624">
        <v>97.710843373493972</v>
      </c>
      <c r="K624" t="str">
        <f>_xlfn.XLOOKUP(tblProduction[[#This Row],[Product]],tblProducts[Product],tblProducts[Category],"Not Found")</f>
        <v>Assembly</v>
      </c>
      <c r="L624">
        <f>_xlfn.XLOOKUP(tblProduction[[#This Row],[Product]],tblProducts[Product],tblProducts[Target_Units],"Not Found")</f>
        <v>850</v>
      </c>
    </row>
    <row r="625" spans="1:12" x14ac:dyDescent="0.3">
      <c r="A625" s="1">
        <v>46093</v>
      </c>
      <c r="B625" t="s">
        <v>9</v>
      </c>
      <c r="C625" t="s">
        <v>12</v>
      </c>
      <c r="D625" t="s">
        <v>11</v>
      </c>
      <c r="E625">
        <v>913</v>
      </c>
      <c r="F625">
        <v>13</v>
      </c>
      <c r="G625">
        <v>40</v>
      </c>
      <c r="H625">
        <v>900</v>
      </c>
      <c r="I625">
        <v>1.4238773274917851</v>
      </c>
      <c r="J625">
        <v>98.57612267250822</v>
      </c>
      <c r="K625" t="str">
        <f>_xlfn.XLOOKUP(tblProduction[[#This Row],[Product]],tblProducts[Product],tblProducts[Category],"Not Found")</f>
        <v>Precision</v>
      </c>
      <c r="L625">
        <f>_xlfn.XLOOKUP(tblProduction[[#This Row],[Product]],tblProducts[Product],tblProducts[Target_Units],"Not Found")</f>
        <v>950</v>
      </c>
    </row>
    <row r="626" spans="1:12" x14ac:dyDescent="0.3">
      <c r="A626" s="1">
        <v>46093</v>
      </c>
      <c r="B626" t="s">
        <v>9</v>
      </c>
      <c r="C626" t="s">
        <v>13</v>
      </c>
      <c r="D626" t="s">
        <v>18</v>
      </c>
      <c r="E626">
        <v>802</v>
      </c>
      <c r="F626">
        <v>20</v>
      </c>
      <c r="G626">
        <v>62</v>
      </c>
      <c r="H626">
        <v>782</v>
      </c>
      <c r="I626">
        <v>2.4937655860349128</v>
      </c>
      <c r="J626">
        <v>97.506234413965089</v>
      </c>
      <c r="K626" t="str">
        <f>_xlfn.XLOOKUP(tblProduction[[#This Row],[Product]],tblProducts[Product],tblProducts[Category],"Not Found")</f>
        <v>Assembly</v>
      </c>
      <c r="L626">
        <f>_xlfn.XLOOKUP(tblProduction[[#This Row],[Product]],tblProducts[Product],tblProducts[Target_Units],"Not Found")</f>
        <v>900</v>
      </c>
    </row>
    <row r="627" spans="1:12" x14ac:dyDescent="0.3">
      <c r="A627" s="1">
        <v>46093</v>
      </c>
      <c r="B627" t="s">
        <v>15</v>
      </c>
      <c r="C627" t="s">
        <v>10</v>
      </c>
      <c r="D627" t="s">
        <v>11</v>
      </c>
      <c r="E627">
        <v>911</v>
      </c>
      <c r="F627">
        <v>22</v>
      </c>
      <c r="G627">
        <v>17</v>
      </c>
      <c r="H627">
        <v>889</v>
      </c>
      <c r="I627">
        <v>2.4149286498353462</v>
      </c>
      <c r="J627">
        <v>97.585071350164654</v>
      </c>
      <c r="K627" t="str">
        <f>_xlfn.XLOOKUP(tblProduction[[#This Row],[Product]],tblProducts[Product],tblProducts[Category],"Not Found")</f>
        <v>Precision</v>
      </c>
      <c r="L627">
        <f>_xlfn.XLOOKUP(tblProduction[[#This Row],[Product]],tblProducts[Product],tblProducts[Target_Units],"Not Found")</f>
        <v>950</v>
      </c>
    </row>
    <row r="628" spans="1:12" x14ac:dyDescent="0.3">
      <c r="A628" s="1">
        <v>46093</v>
      </c>
      <c r="B628" t="s">
        <v>15</v>
      </c>
      <c r="C628" t="s">
        <v>12</v>
      </c>
      <c r="D628" t="s">
        <v>14</v>
      </c>
      <c r="E628">
        <v>744</v>
      </c>
      <c r="F628">
        <v>24</v>
      </c>
      <c r="G628">
        <v>38</v>
      </c>
      <c r="H628">
        <v>720</v>
      </c>
      <c r="I628">
        <v>3.225806451612903</v>
      </c>
      <c r="J628">
        <v>96.774193548387103</v>
      </c>
      <c r="K628" t="str">
        <f>_xlfn.XLOOKUP(tblProduction[[#This Row],[Product]],tblProducts[Product],tblProducts[Category],"Not Found")</f>
        <v>Assembly</v>
      </c>
      <c r="L628">
        <f>_xlfn.XLOOKUP(tblProduction[[#This Row],[Product]],tblProducts[Product],tblProducts[Target_Units],"Not Found")</f>
        <v>850</v>
      </c>
    </row>
    <row r="629" spans="1:12" x14ac:dyDescent="0.3">
      <c r="A629" s="1">
        <v>46093</v>
      </c>
      <c r="B629" t="s">
        <v>15</v>
      </c>
      <c r="C629" t="s">
        <v>13</v>
      </c>
      <c r="D629" t="s">
        <v>11</v>
      </c>
      <c r="E629">
        <v>822</v>
      </c>
      <c r="F629">
        <v>28</v>
      </c>
      <c r="G629">
        <v>34</v>
      </c>
      <c r="H629">
        <v>794</v>
      </c>
      <c r="I629">
        <v>3.4063260340632602</v>
      </c>
      <c r="J629">
        <v>96.593673965936745</v>
      </c>
      <c r="K629" t="str">
        <f>_xlfn.XLOOKUP(tblProduction[[#This Row],[Product]],tblProducts[Product],tblProducts[Category],"Not Found")</f>
        <v>Precision</v>
      </c>
      <c r="L629">
        <f>_xlfn.XLOOKUP(tblProduction[[#This Row],[Product]],tblProducts[Product],tblProducts[Target_Units],"Not Found")</f>
        <v>950</v>
      </c>
    </row>
    <row r="630" spans="1:12" x14ac:dyDescent="0.3">
      <c r="A630" s="1">
        <v>46093</v>
      </c>
      <c r="B630" t="s">
        <v>17</v>
      </c>
      <c r="C630" t="s">
        <v>10</v>
      </c>
      <c r="D630" t="s">
        <v>11</v>
      </c>
      <c r="E630">
        <v>763</v>
      </c>
      <c r="F630">
        <v>26</v>
      </c>
      <c r="G630">
        <v>38</v>
      </c>
      <c r="H630">
        <v>737</v>
      </c>
      <c r="I630">
        <v>3.4076015727391882</v>
      </c>
      <c r="J630">
        <v>96.592398427260818</v>
      </c>
      <c r="K630" t="str">
        <f>_xlfn.XLOOKUP(tblProduction[[#This Row],[Product]],tblProducts[Product],tblProducts[Category],"Not Found")</f>
        <v>Precision</v>
      </c>
      <c r="L630">
        <f>_xlfn.XLOOKUP(tblProduction[[#This Row],[Product]],tblProducts[Product],tblProducts[Target_Units],"Not Found")</f>
        <v>950</v>
      </c>
    </row>
    <row r="631" spans="1:12" x14ac:dyDescent="0.3">
      <c r="A631" s="1">
        <v>46093</v>
      </c>
      <c r="B631" t="s">
        <v>17</v>
      </c>
      <c r="C631" t="s">
        <v>12</v>
      </c>
      <c r="D631" t="s">
        <v>14</v>
      </c>
      <c r="E631">
        <v>654</v>
      </c>
      <c r="F631">
        <v>28</v>
      </c>
      <c r="G631">
        <v>50</v>
      </c>
      <c r="H631">
        <v>626</v>
      </c>
      <c r="I631">
        <v>4.281345565749235</v>
      </c>
      <c r="J631">
        <v>95.718654434250766</v>
      </c>
      <c r="K631" t="str">
        <f>_xlfn.XLOOKUP(tblProduction[[#This Row],[Product]],tblProducts[Product],tblProducts[Category],"Not Found")</f>
        <v>Assembly</v>
      </c>
      <c r="L631">
        <f>_xlfn.XLOOKUP(tblProduction[[#This Row],[Product]],tblProducts[Product],tblProducts[Target_Units],"Not Found")</f>
        <v>850</v>
      </c>
    </row>
    <row r="632" spans="1:12" x14ac:dyDescent="0.3">
      <c r="A632" s="1">
        <v>46093</v>
      </c>
      <c r="B632" t="s">
        <v>17</v>
      </c>
      <c r="C632" t="s">
        <v>13</v>
      </c>
      <c r="D632" t="s">
        <v>16</v>
      </c>
      <c r="E632">
        <v>749</v>
      </c>
      <c r="F632">
        <v>33</v>
      </c>
      <c r="G632">
        <v>47</v>
      </c>
      <c r="H632">
        <v>716</v>
      </c>
      <c r="I632">
        <v>4.4058744993324437</v>
      </c>
      <c r="J632">
        <v>95.594125500667559</v>
      </c>
      <c r="K632" t="str">
        <f>_xlfn.XLOOKUP(tblProduction[[#This Row],[Product]],tblProducts[Product],tblProducts[Category],"Not Found")</f>
        <v>Standard</v>
      </c>
      <c r="L632">
        <f>_xlfn.XLOOKUP(tblProduction[[#This Row],[Product]],tblProducts[Product],tblProducts[Target_Units],"Not Found")</f>
        <v>1000</v>
      </c>
    </row>
    <row r="633" spans="1:12" x14ac:dyDescent="0.3">
      <c r="A633" s="1">
        <v>46094</v>
      </c>
      <c r="B633" t="s">
        <v>9</v>
      </c>
      <c r="C633" t="s">
        <v>10</v>
      </c>
      <c r="D633" t="s">
        <v>18</v>
      </c>
      <c r="E633">
        <v>887</v>
      </c>
      <c r="F633">
        <v>13</v>
      </c>
      <c r="G633">
        <v>50</v>
      </c>
      <c r="H633">
        <v>874</v>
      </c>
      <c r="I633">
        <v>1.4656144306651639</v>
      </c>
      <c r="J633">
        <v>98.53438556933483</v>
      </c>
      <c r="K633" t="str">
        <f>_xlfn.XLOOKUP(tblProduction[[#This Row],[Product]],tblProducts[Product],tblProducts[Category],"Not Found")</f>
        <v>Assembly</v>
      </c>
      <c r="L633">
        <f>_xlfn.XLOOKUP(tblProduction[[#This Row],[Product]],tblProducts[Product],tblProducts[Target_Units],"Not Found")</f>
        <v>900</v>
      </c>
    </row>
    <row r="634" spans="1:12" x14ac:dyDescent="0.3">
      <c r="A634" s="1">
        <v>46094</v>
      </c>
      <c r="B634" t="s">
        <v>9</v>
      </c>
      <c r="C634" t="s">
        <v>12</v>
      </c>
      <c r="D634" t="s">
        <v>16</v>
      </c>
      <c r="E634">
        <v>866</v>
      </c>
      <c r="F634">
        <v>12</v>
      </c>
      <c r="G634">
        <v>88</v>
      </c>
      <c r="H634">
        <v>854</v>
      </c>
      <c r="I634">
        <v>1.38568129330254</v>
      </c>
      <c r="J634">
        <v>98.61431870669746</v>
      </c>
      <c r="K634" t="str">
        <f>_xlfn.XLOOKUP(tblProduction[[#This Row],[Product]],tblProducts[Product],tblProducts[Category],"Not Found")</f>
        <v>Standard</v>
      </c>
      <c r="L634">
        <f>_xlfn.XLOOKUP(tblProduction[[#This Row],[Product]],tblProducts[Product],tblProducts[Target_Units],"Not Found")</f>
        <v>1000</v>
      </c>
    </row>
    <row r="635" spans="1:12" x14ac:dyDescent="0.3">
      <c r="A635" s="1">
        <v>46094</v>
      </c>
      <c r="B635" t="s">
        <v>9</v>
      </c>
      <c r="C635" t="s">
        <v>13</v>
      </c>
      <c r="D635" t="s">
        <v>16</v>
      </c>
      <c r="E635">
        <v>986</v>
      </c>
      <c r="F635">
        <v>24</v>
      </c>
      <c r="G635">
        <v>17</v>
      </c>
      <c r="H635">
        <v>962</v>
      </c>
      <c r="I635">
        <v>2.4340770791075048</v>
      </c>
      <c r="J635">
        <v>97.56592292089249</v>
      </c>
      <c r="K635" t="str">
        <f>_xlfn.XLOOKUP(tblProduction[[#This Row],[Product]],tblProducts[Product],tblProducts[Category],"Not Found")</f>
        <v>Standard</v>
      </c>
      <c r="L635">
        <f>_xlfn.XLOOKUP(tblProduction[[#This Row],[Product]],tblProducts[Product],tblProducts[Target_Units],"Not Found")</f>
        <v>1000</v>
      </c>
    </row>
    <row r="636" spans="1:12" x14ac:dyDescent="0.3">
      <c r="A636" s="1">
        <v>46094</v>
      </c>
      <c r="B636" t="s">
        <v>15</v>
      </c>
      <c r="C636" t="s">
        <v>10</v>
      </c>
      <c r="D636" t="s">
        <v>18</v>
      </c>
      <c r="E636">
        <v>890</v>
      </c>
      <c r="F636">
        <v>22</v>
      </c>
      <c r="G636">
        <v>10</v>
      </c>
      <c r="H636">
        <v>868</v>
      </c>
      <c r="I636">
        <v>2.4719101123595499</v>
      </c>
      <c r="J636">
        <v>97.528089887640448</v>
      </c>
      <c r="K636" t="str">
        <f>_xlfn.XLOOKUP(tblProduction[[#This Row],[Product]],tblProducts[Product],tblProducts[Category],"Not Found")</f>
        <v>Assembly</v>
      </c>
      <c r="L636">
        <f>_xlfn.XLOOKUP(tblProduction[[#This Row],[Product]],tblProducts[Product],tblProducts[Target_Units],"Not Found")</f>
        <v>900</v>
      </c>
    </row>
    <row r="637" spans="1:12" x14ac:dyDescent="0.3">
      <c r="A637" s="1">
        <v>46094</v>
      </c>
      <c r="B637" t="s">
        <v>15</v>
      </c>
      <c r="C637" t="s">
        <v>12</v>
      </c>
      <c r="D637" t="s">
        <v>11</v>
      </c>
      <c r="E637">
        <v>789</v>
      </c>
      <c r="F637">
        <v>19</v>
      </c>
      <c r="G637">
        <v>62</v>
      </c>
      <c r="H637">
        <v>770</v>
      </c>
      <c r="I637">
        <v>2.4081115335868191</v>
      </c>
      <c r="J637">
        <v>97.591888466413181</v>
      </c>
      <c r="K637" t="str">
        <f>_xlfn.XLOOKUP(tblProduction[[#This Row],[Product]],tblProducts[Product],tblProducts[Category],"Not Found")</f>
        <v>Precision</v>
      </c>
      <c r="L637">
        <f>_xlfn.XLOOKUP(tblProduction[[#This Row],[Product]],tblProducts[Product],tblProducts[Target_Units],"Not Found")</f>
        <v>950</v>
      </c>
    </row>
    <row r="638" spans="1:12" x14ac:dyDescent="0.3">
      <c r="A638" s="1">
        <v>46094</v>
      </c>
      <c r="B638" t="s">
        <v>15</v>
      </c>
      <c r="C638" t="s">
        <v>13</v>
      </c>
      <c r="D638" t="s">
        <v>11</v>
      </c>
      <c r="E638">
        <v>816</v>
      </c>
      <c r="F638">
        <v>28</v>
      </c>
      <c r="G638">
        <v>0</v>
      </c>
      <c r="H638">
        <v>788</v>
      </c>
      <c r="I638">
        <v>3.4313725490196081</v>
      </c>
      <c r="J638">
        <v>96.568627450980387</v>
      </c>
      <c r="K638" t="str">
        <f>_xlfn.XLOOKUP(tblProduction[[#This Row],[Product]],tblProducts[Product],tblProducts[Category],"Not Found")</f>
        <v>Precision</v>
      </c>
      <c r="L638">
        <f>_xlfn.XLOOKUP(tblProduction[[#This Row],[Product]],tblProducts[Product],tblProducts[Target_Units],"Not Found")</f>
        <v>950</v>
      </c>
    </row>
    <row r="639" spans="1:12" x14ac:dyDescent="0.3">
      <c r="A639" s="1">
        <v>46094</v>
      </c>
      <c r="B639" t="s">
        <v>17</v>
      </c>
      <c r="C639" t="s">
        <v>10</v>
      </c>
      <c r="D639" t="s">
        <v>18</v>
      </c>
      <c r="E639">
        <v>721</v>
      </c>
      <c r="F639">
        <v>25</v>
      </c>
      <c r="G639">
        <v>45</v>
      </c>
      <c r="H639">
        <v>696</v>
      </c>
      <c r="I639">
        <v>3.467406380027739</v>
      </c>
      <c r="J639">
        <v>96.532593619972261</v>
      </c>
      <c r="K639" t="str">
        <f>_xlfn.XLOOKUP(tblProduction[[#This Row],[Product]],tblProducts[Product],tblProducts[Category],"Not Found")</f>
        <v>Assembly</v>
      </c>
      <c r="L639">
        <f>_xlfn.XLOOKUP(tblProduction[[#This Row],[Product]],tblProducts[Product],tblProducts[Target_Units],"Not Found")</f>
        <v>900</v>
      </c>
    </row>
    <row r="640" spans="1:12" x14ac:dyDescent="0.3">
      <c r="A640" s="1">
        <v>46094</v>
      </c>
      <c r="B640" t="s">
        <v>17</v>
      </c>
      <c r="C640" t="s">
        <v>12</v>
      </c>
      <c r="D640" t="s">
        <v>18</v>
      </c>
      <c r="E640">
        <v>689</v>
      </c>
      <c r="F640">
        <v>24</v>
      </c>
      <c r="G640">
        <v>86</v>
      </c>
      <c r="H640">
        <v>665</v>
      </c>
      <c r="I640">
        <v>3.483309143686502</v>
      </c>
      <c r="J640">
        <v>96.516690856313502</v>
      </c>
      <c r="K640" t="str">
        <f>_xlfn.XLOOKUP(tblProduction[[#This Row],[Product]],tblProducts[Product],tblProducts[Category],"Not Found")</f>
        <v>Assembly</v>
      </c>
      <c r="L640">
        <f>_xlfn.XLOOKUP(tblProduction[[#This Row],[Product]],tblProducts[Product],tblProducts[Target_Units],"Not Found")</f>
        <v>900</v>
      </c>
    </row>
    <row r="641" spans="1:12" x14ac:dyDescent="0.3">
      <c r="A641" s="1">
        <v>46094</v>
      </c>
      <c r="B641" t="s">
        <v>17</v>
      </c>
      <c r="C641" t="s">
        <v>13</v>
      </c>
      <c r="D641" t="s">
        <v>16</v>
      </c>
      <c r="E641">
        <v>793</v>
      </c>
      <c r="F641">
        <v>35</v>
      </c>
      <c r="G641">
        <v>26</v>
      </c>
      <c r="H641">
        <v>758</v>
      </c>
      <c r="I641">
        <v>4.4136191677175276</v>
      </c>
      <c r="J641">
        <v>95.586380832282472</v>
      </c>
      <c r="K641" t="str">
        <f>_xlfn.XLOOKUP(tblProduction[[#This Row],[Product]],tblProducts[Product],tblProducts[Category],"Not Found")</f>
        <v>Standard</v>
      </c>
      <c r="L641">
        <f>_xlfn.XLOOKUP(tblProduction[[#This Row],[Product]],tblProducts[Product],tblProducts[Target_Units],"Not Found")</f>
        <v>1000</v>
      </c>
    </row>
    <row r="642" spans="1:12" x14ac:dyDescent="0.3">
      <c r="A642" s="1">
        <v>46095</v>
      </c>
      <c r="B642" t="s">
        <v>9</v>
      </c>
      <c r="C642" t="s">
        <v>10</v>
      </c>
      <c r="D642" t="s">
        <v>16</v>
      </c>
      <c r="E642">
        <v>1015</v>
      </c>
      <c r="F642">
        <v>15</v>
      </c>
      <c r="G642">
        <v>23</v>
      </c>
      <c r="H642">
        <v>1000</v>
      </c>
      <c r="I642">
        <v>1.4778325123152709</v>
      </c>
      <c r="J642">
        <v>98.522167487684726</v>
      </c>
      <c r="K642" t="str">
        <f>_xlfn.XLOOKUP(tblProduction[[#This Row],[Product]],tblProducts[Product],tblProducts[Category],"Not Found")</f>
        <v>Standard</v>
      </c>
      <c r="L642">
        <f>_xlfn.XLOOKUP(tblProduction[[#This Row],[Product]],tblProducts[Product],tblProducts[Target_Units],"Not Found")</f>
        <v>1000</v>
      </c>
    </row>
    <row r="643" spans="1:12" x14ac:dyDescent="0.3">
      <c r="A643" s="1">
        <v>46095</v>
      </c>
      <c r="B643" t="s">
        <v>9</v>
      </c>
      <c r="C643" t="s">
        <v>12</v>
      </c>
      <c r="D643" t="s">
        <v>16</v>
      </c>
      <c r="E643">
        <v>993</v>
      </c>
      <c r="F643">
        <v>14</v>
      </c>
      <c r="G643">
        <v>26</v>
      </c>
      <c r="H643">
        <v>979</v>
      </c>
      <c r="I643">
        <v>1.409869083585096</v>
      </c>
      <c r="J643">
        <v>98.590130916414907</v>
      </c>
      <c r="K643" t="str">
        <f>_xlfn.XLOOKUP(tblProduction[[#This Row],[Product]],tblProducts[Product],tblProducts[Category],"Not Found")</f>
        <v>Standard</v>
      </c>
      <c r="L643">
        <f>_xlfn.XLOOKUP(tblProduction[[#This Row],[Product]],tblProducts[Product],tblProducts[Target_Units],"Not Found")</f>
        <v>1000</v>
      </c>
    </row>
    <row r="644" spans="1:12" x14ac:dyDescent="0.3">
      <c r="A644" s="1">
        <v>46095</v>
      </c>
      <c r="B644" t="s">
        <v>9</v>
      </c>
      <c r="C644" t="s">
        <v>13</v>
      </c>
      <c r="D644" t="s">
        <v>16</v>
      </c>
      <c r="E644">
        <v>988</v>
      </c>
      <c r="F644">
        <v>24</v>
      </c>
      <c r="G644">
        <v>9</v>
      </c>
      <c r="H644">
        <v>964</v>
      </c>
      <c r="I644">
        <v>2.42914979757085</v>
      </c>
      <c r="J644">
        <v>97.570850202429142</v>
      </c>
      <c r="K644" t="str">
        <f>_xlfn.XLOOKUP(tblProduction[[#This Row],[Product]],tblProducts[Product],tblProducts[Category],"Not Found")</f>
        <v>Standard</v>
      </c>
      <c r="L644">
        <f>_xlfn.XLOOKUP(tblProduction[[#This Row],[Product]],tblProducts[Product],tblProducts[Target_Units],"Not Found")</f>
        <v>1000</v>
      </c>
    </row>
    <row r="645" spans="1:12" x14ac:dyDescent="0.3">
      <c r="A645" s="1">
        <v>46095</v>
      </c>
      <c r="B645" t="s">
        <v>15</v>
      </c>
      <c r="C645" t="s">
        <v>10</v>
      </c>
      <c r="D645" t="s">
        <v>11</v>
      </c>
      <c r="E645">
        <v>877</v>
      </c>
      <c r="F645">
        <v>21</v>
      </c>
      <c r="G645">
        <v>58</v>
      </c>
      <c r="H645">
        <v>856</v>
      </c>
      <c r="I645">
        <v>2.3945267958950969</v>
      </c>
      <c r="J645">
        <v>97.605473204104896</v>
      </c>
      <c r="K645" t="str">
        <f>_xlfn.XLOOKUP(tblProduction[[#This Row],[Product]],tblProducts[Product],tblProducts[Category],"Not Found")</f>
        <v>Precision</v>
      </c>
      <c r="L645">
        <f>_xlfn.XLOOKUP(tblProduction[[#This Row],[Product]],tblProducts[Product],tblProducts[Target_Units],"Not Found")</f>
        <v>950</v>
      </c>
    </row>
    <row r="646" spans="1:12" x14ac:dyDescent="0.3">
      <c r="A646" s="1">
        <v>46095</v>
      </c>
      <c r="B646" t="s">
        <v>15</v>
      </c>
      <c r="C646" t="s">
        <v>12</v>
      </c>
      <c r="D646" t="s">
        <v>18</v>
      </c>
      <c r="E646">
        <v>799</v>
      </c>
      <c r="F646">
        <v>19</v>
      </c>
      <c r="G646">
        <v>60</v>
      </c>
      <c r="H646">
        <v>780</v>
      </c>
      <c r="I646">
        <v>2.3779724655819781</v>
      </c>
      <c r="J646">
        <v>97.622027534418024</v>
      </c>
      <c r="K646" t="str">
        <f>_xlfn.XLOOKUP(tblProduction[[#This Row],[Product]],tblProducts[Product],tblProducts[Category],"Not Found")</f>
        <v>Assembly</v>
      </c>
      <c r="L646">
        <f>_xlfn.XLOOKUP(tblProduction[[#This Row],[Product]],tblProducts[Product],tblProducts[Target_Units],"Not Found")</f>
        <v>900</v>
      </c>
    </row>
    <row r="647" spans="1:12" x14ac:dyDescent="0.3">
      <c r="A647" s="1">
        <v>46095</v>
      </c>
      <c r="B647" t="s">
        <v>15</v>
      </c>
      <c r="C647" t="s">
        <v>13</v>
      </c>
      <c r="D647" t="s">
        <v>14</v>
      </c>
      <c r="E647">
        <v>687</v>
      </c>
      <c r="F647">
        <v>29</v>
      </c>
      <c r="G647">
        <v>54</v>
      </c>
      <c r="H647">
        <v>658</v>
      </c>
      <c r="I647">
        <v>4.2212518195050954</v>
      </c>
      <c r="J647">
        <v>95.778748180494915</v>
      </c>
      <c r="K647" t="str">
        <f>_xlfn.XLOOKUP(tblProduction[[#This Row],[Product]],tblProducts[Product],tblProducts[Category],"Not Found")</f>
        <v>Assembly</v>
      </c>
      <c r="L647">
        <f>_xlfn.XLOOKUP(tblProduction[[#This Row],[Product]],tblProducts[Product],tblProducts[Target_Units],"Not Found")</f>
        <v>850</v>
      </c>
    </row>
    <row r="648" spans="1:12" x14ac:dyDescent="0.3">
      <c r="A648" s="1">
        <v>46095</v>
      </c>
      <c r="B648" t="s">
        <v>17</v>
      </c>
      <c r="C648" t="s">
        <v>10</v>
      </c>
      <c r="D648" t="s">
        <v>16</v>
      </c>
      <c r="E648">
        <v>762</v>
      </c>
      <c r="F648">
        <v>26</v>
      </c>
      <c r="G648">
        <v>74</v>
      </c>
      <c r="H648">
        <v>736</v>
      </c>
      <c r="I648">
        <v>3.4120734908136479</v>
      </c>
      <c r="J648">
        <v>96.587926509186346</v>
      </c>
      <c r="K648" t="str">
        <f>_xlfn.XLOOKUP(tblProduction[[#This Row],[Product]],tblProducts[Product],tblProducts[Category],"Not Found")</f>
        <v>Standard</v>
      </c>
      <c r="L648">
        <f>_xlfn.XLOOKUP(tblProduction[[#This Row],[Product]],tblProducts[Product],tblProducts[Target_Units],"Not Found")</f>
        <v>1000</v>
      </c>
    </row>
    <row r="649" spans="1:12" x14ac:dyDescent="0.3">
      <c r="A649" s="1">
        <v>46095</v>
      </c>
      <c r="B649" t="s">
        <v>17</v>
      </c>
      <c r="C649" t="s">
        <v>12</v>
      </c>
      <c r="D649" t="s">
        <v>16</v>
      </c>
      <c r="E649">
        <v>784</v>
      </c>
      <c r="F649">
        <v>27</v>
      </c>
      <c r="G649">
        <v>52</v>
      </c>
      <c r="H649">
        <v>757</v>
      </c>
      <c r="I649">
        <v>3.443877551020408</v>
      </c>
      <c r="J649">
        <v>96.556122448979593</v>
      </c>
      <c r="K649" t="str">
        <f>_xlfn.XLOOKUP(tblProduction[[#This Row],[Product]],tblProducts[Product],tblProducts[Category],"Not Found")</f>
        <v>Standard</v>
      </c>
      <c r="L649">
        <f>_xlfn.XLOOKUP(tblProduction[[#This Row],[Product]],tblProducts[Product],tblProducts[Target_Units],"Not Found")</f>
        <v>1000</v>
      </c>
    </row>
    <row r="650" spans="1:12" x14ac:dyDescent="0.3">
      <c r="A650" s="1">
        <v>46095</v>
      </c>
      <c r="B650" t="s">
        <v>17</v>
      </c>
      <c r="C650" t="s">
        <v>13</v>
      </c>
      <c r="D650" t="s">
        <v>16</v>
      </c>
      <c r="E650">
        <v>673</v>
      </c>
      <c r="F650">
        <v>30</v>
      </c>
      <c r="G650">
        <v>75</v>
      </c>
      <c r="H650">
        <v>643</v>
      </c>
      <c r="I650">
        <v>4.4576523031203568</v>
      </c>
      <c r="J650">
        <v>95.542347696879645</v>
      </c>
      <c r="K650" t="str">
        <f>_xlfn.XLOOKUP(tblProduction[[#This Row],[Product]],tblProducts[Product],tblProducts[Category],"Not Found")</f>
        <v>Standard</v>
      </c>
      <c r="L650">
        <f>_xlfn.XLOOKUP(tblProduction[[#This Row],[Product]],tblProducts[Product],tblProducts[Target_Units],"Not Found")</f>
        <v>1000</v>
      </c>
    </row>
    <row r="651" spans="1:12" x14ac:dyDescent="0.3">
      <c r="A651" s="1">
        <v>46096</v>
      </c>
      <c r="B651" t="s">
        <v>9</v>
      </c>
      <c r="C651" t="s">
        <v>10</v>
      </c>
      <c r="D651" t="s">
        <v>16</v>
      </c>
      <c r="E651">
        <v>1124</v>
      </c>
      <c r="F651">
        <v>16</v>
      </c>
      <c r="G651">
        <v>3</v>
      </c>
      <c r="H651">
        <v>1108</v>
      </c>
      <c r="I651">
        <v>1.4234875444839861</v>
      </c>
      <c r="J651">
        <v>98.576512455516024</v>
      </c>
      <c r="K651" t="str">
        <f>_xlfn.XLOOKUP(tblProduction[[#This Row],[Product]],tblProducts[Product],tblProducts[Category],"Not Found")</f>
        <v>Standard</v>
      </c>
      <c r="L651">
        <f>_xlfn.XLOOKUP(tblProduction[[#This Row],[Product]],tblProducts[Product],tblProducts[Target_Units],"Not Found")</f>
        <v>1000</v>
      </c>
    </row>
    <row r="652" spans="1:12" x14ac:dyDescent="0.3">
      <c r="A652" s="1">
        <v>46096</v>
      </c>
      <c r="B652" t="s">
        <v>9</v>
      </c>
      <c r="C652" t="s">
        <v>13</v>
      </c>
      <c r="D652" t="s">
        <v>18</v>
      </c>
      <c r="E652">
        <v>886</v>
      </c>
      <c r="F652">
        <v>22</v>
      </c>
      <c r="G652">
        <v>8</v>
      </c>
      <c r="H652">
        <v>864</v>
      </c>
      <c r="I652">
        <v>2.483069977426636</v>
      </c>
      <c r="J652">
        <v>97.516930022573362</v>
      </c>
      <c r="K652" t="str">
        <f>_xlfn.XLOOKUP(tblProduction[[#This Row],[Product]],tblProducts[Product],tblProducts[Category],"Not Found")</f>
        <v>Assembly</v>
      </c>
      <c r="L652">
        <f>_xlfn.XLOOKUP(tblProduction[[#This Row],[Product]],tblProducts[Product],tblProducts[Target_Units],"Not Found")</f>
        <v>900</v>
      </c>
    </row>
    <row r="653" spans="1:12" x14ac:dyDescent="0.3">
      <c r="A653" s="1">
        <v>46096</v>
      </c>
      <c r="B653" t="s">
        <v>15</v>
      </c>
      <c r="C653" t="s">
        <v>10</v>
      </c>
      <c r="D653" t="s">
        <v>11</v>
      </c>
      <c r="E653">
        <v>849</v>
      </c>
      <c r="F653">
        <v>21</v>
      </c>
      <c r="G653">
        <v>37</v>
      </c>
      <c r="H653">
        <v>828</v>
      </c>
      <c r="I653">
        <v>2.473498233215548</v>
      </c>
      <c r="J653">
        <v>97.526501766784463</v>
      </c>
      <c r="K653" t="str">
        <f>_xlfn.XLOOKUP(tblProduction[[#This Row],[Product]],tblProducts[Product],tblProducts[Category],"Not Found")</f>
        <v>Precision</v>
      </c>
      <c r="L653">
        <f>_xlfn.XLOOKUP(tblProduction[[#This Row],[Product]],tblProducts[Product],tblProducts[Target_Units],"Not Found")</f>
        <v>950</v>
      </c>
    </row>
    <row r="654" spans="1:12" x14ac:dyDescent="0.3">
      <c r="A654" s="1">
        <v>46096</v>
      </c>
      <c r="B654" t="s">
        <v>15</v>
      </c>
      <c r="C654" t="s">
        <v>12</v>
      </c>
      <c r="D654" t="s">
        <v>11</v>
      </c>
      <c r="E654">
        <v>902</v>
      </c>
      <c r="F654">
        <v>22</v>
      </c>
      <c r="G654">
        <v>4</v>
      </c>
      <c r="H654">
        <v>880</v>
      </c>
      <c r="I654">
        <v>2.4390243902439019</v>
      </c>
      <c r="J654">
        <v>97.560975609756099</v>
      </c>
      <c r="K654" t="str">
        <f>_xlfn.XLOOKUP(tblProduction[[#This Row],[Product]],tblProducts[Product],tblProducts[Category],"Not Found")</f>
        <v>Precision</v>
      </c>
      <c r="L654">
        <f>_xlfn.XLOOKUP(tblProduction[[#This Row],[Product]],tblProducts[Product],tblProducts[Target_Units],"Not Found")</f>
        <v>950</v>
      </c>
    </row>
    <row r="655" spans="1:12" x14ac:dyDescent="0.3">
      <c r="A655" s="1">
        <v>46096</v>
      </c>
      <c r="B655" t="s">
        <v>17</v>
      </c>
      <c r="C655" t="s">
        <v>10</v>
      </c>
      <c r="D655" t="s">
        <v>14</v>
      </c>
      <c r="E655">
        <v>644</v>
      </c>
      <c r="F655">
        <v>27</v>
      </c>
      <c r="G655">
        <v>89</v>
      </c>
      <c r="H655">
        <v>617</v>
      </c>
      <c r="I655">
        <v>4.1925465838509322</v>
      </c>
      <c r="J655">
        <v>95.807453416149073</v>
      </c>
      <c r="K655" t="str">
        <f>_xlfn.XLOOKUP(tblProduction[[#This Row],[Product]],tblProducts[Product],tblProducts[Category],"Not Found")</f>
        <v>Assembly</v>
      </c>
      <c r="L655">
        <f>_xlfn.XLOOKUP(tblProduction[[#This Row],[Product]],tblProducts[Product],tblProducts[Target_Units],"Not Found")</f>
        <v>850</v>
      </c>
    </row>
    <row r="656" spans="1:12" x14ac:dyDescent="0.3">
      <c r="A656" s="1">
        <v>46096</v>
      </c>
      <c r="B656" t="s">
        <v>17</v>
      </c>
      <c r="C656" t="s">
        <v>12</v>
      </c>
      <c r="D656" t="s">
        <v>16</v>
      </c>
      <c r="E656">
        <v>772</v>
      </c>
      <c r="F656">
        <v>27</v>
      </c>
      <c r="G656">
        <v>51</v>
      </c>
      <c r="H656">
        <v>745</v>
      </c>
      <c r="I656">
        <v>3.49740932642487</v>
      </c>
      <c r="J656">
        <v>96.502590673575128</v>
      </c>
      <c r="K656" t="str">
        <f>_xlfn.XLOOKUP(tblProduction[[#This Row],[Product]],tblProducts[Product],tblProducts[Category],"Not Found")</f>
        <v>Standard</v>
      </c>
      <c r="L656">
        <f>_xlfn.XLOOKUP(tblProduction[[#This Row],[Product]],tblProducts[Product],tblProducts[Target_Units],"Not Found")</f>
        <v>1000</v>
      </c>
    </row>
    <row r="657" spans="1:12" x14ac:dyDescent="0.3">
      <c r="A657" s="1">
        <v>46096</v>
      </c>
      <c r="B657" t="s">
        <v>17</v>
      </c>
      <c r="C657" t="s">
        <v>13</v>
      </c>
      <c r="D657" t="s">
        <v>11</v>
      </c>
      <c r="E657">
        <v>723</v>
      </c>
      <c r="F657">
        <v>32</v>
      </c>
      <c r="G657">
        <v>37</v>
      </c>
      <c r="H657">
        <v>691</v>
      </c>
      <c r="I657">
        <v>4.4260027662517292</v>
      </c>
      <c r="J657">
        <v>95.573997233748273</v>
      </c>
      <c r="K657" t="str">
        <f>_xlfn.XLOOKUP(tblProduction[[#This Row],[Product]],tblProducts[Product],tblProducts[Category],"Not Found")</f>
        <v>Precision</v>
      </c>
      <c r="L657">
        <f>_xlfn.XLOOKUP(tblProduction[[#This Row],[Product]],tblProducts[Product],tblProducts[Target_Units],"Not Found")</f>
        <v>950</v>
      </c>
    </row>
    <row r="658" spans="1:12" x14ac:dyDescent="0.3">
      <c r="A658" s="1">
        <v>46097</v>
      </c>
      <c r="B658" t="s">
        <v>9</v>
      </c>
      <c r="C658" t="s">
        <v>10</v>
      </c>
      <c r="D658" t="s">
        <v>14</v>
      </c>
      <c r="E658">
        <v>810</v>
      </c>
      <c r="F658">
        <v>18</v>
      </c>
      <c r="G658">
        <v>85</v>
      </c>
      <c r="H658">
        <v>792</v>
      </c>
      <c r="I658">
        <v>2.2222222222222219</v>
      </c>
      <c r="J658">
        <v>97.777777777777771</v>
      </c>
      <c r="K658" t="str">
        <f>_xlfn.XLOOKUP(tblProduction[[#This Row],[Product]],tblProducts[Product],tblProducts[Category],"Not Found")</f>
        <v>Assembly</v>
      </c>
      <c r="L658">
        <f>_xlfn.XLOOKUP(tblProduction[[#This Row],[Product]],tblProducts[Product],tblProducts[Target_Units],"Not Found")</f>
        <v>850</v>
      </c>
    </row>
    <row r="659" spans="1:12" x14ac:dyDescent="0.3">
      <c r="A659" s="1">
        <v>46097</v>
      </c>
      <c r="B659" t="s">
        <v>9</v>
      </c>
      <c r="C659" t="s">
        <v>13</v>
      </c>
      <c r="D659" t="s">
        <v>14</v>
      </c>
      <c r="E659">
        <v>826</v>
      </c>
      <c r="F659">
        <v>27</v>
      </c>
      <c r="G659">
        <v>17</v>
      </c>
      <c r="H659">
        <v>799</v>
      </c>
      <c r="I659">
        <v>3.2687651331719132</v>
      </c>
      <c r="J659">
        <v>96.731234866828089</v>
      </c>
      <c r="K659" t="str">
        <f>_xlfn.XLOOKUP(tblProduction[[#This Row],[Product]],tblProducts[Product],tblProducts[Category],"Not Found")</f>
        <v>Assembly</v>
      </c>
      <c r="L659">
        <f>_xlfn.XLOOKUP(tblProduction[[#This Row],[Product]],tblProducts[Product],tblProducts[Target_Units],"Not Found")</f>
        <v>850</v>
      </c>
    </row>
    <row r="660" spans="1:12" x14ac:dyDescent="0.3">
      <c r="A660" s="1">
        <v>46097</v>
      </c>
      <c r="B660" t="s">
        <v>15</v>
      </c>
      <c r="C660" t="s">
        <v>10</v>
      </c>
      <c r="D660" t="s">
        <v>16</v>
      </c>
      <c r="E660">
        <v>1004</v>
      </c>
      <c r="F660">
        <v>25</v>
      </c>
      <c r="G660">
        <v>24</v>
      </c>
      <c r="H660">
        <v>979</v>
      </c>
      <c r="I660">
        <v>2.4900398406374502</v>
      </c>
      <c r="J660">
        <v>97.509960159362549</v>
      </c>
      <c r="K660" t="str">
        <f>_xlfn.XLOOKUP(tblProduction[[#This Row],[Product]],tblProducts[Product],tblProducts[Category],"Not Found")</f>
        <v>Standard</v>
      </c>
      <c r="L660">
        <f>_xlfn.XLOOKUP(tblProduction[[#This Row],[Product]],tblProducts[Product],tblProducts[Target_Units],"Not Found")</f>
        <v>1000</v>
      </c>
    </row>
    <row r="661" spans="1:12" x14ac:dyDescent="0.3">
      <c r="A661" s="1">
        <v>46097</v>
      </c>
      <c r="B661" t="s">
        <v>15</v>
      </c>
      <c r="C661" t="s">
        <v>12</v>
      </c>
      <c r="D661" t="s">
        <v>11</v>
      </c>
      <c r="E661">
        <v>759</v>
      </c>
      <c r="F661">
        <v>18</v>
      </c>
      <c r="G661">
        <v>78</v>
      </c>
      <c r="H661">
        <v>741</v>
      </c>
      <c r="I661">
        <v>2.3715415019762842</v>
      </c>
      <c r="J661">
        <v>97.628458498023718</v>
      </c>
      <c r="K661" t="str">
        <f>_xlfn.XLOOKUP(tblProduction[[#This Row],[Product]],tblProducts[Product],tblProducts[Category],"Not Found")</f>
        <v>Precision</v>
      </c>
      <c r="L661">
        <f>_xlfn.XLOOKUP(tblProduction[[#This Row],[Product]],tblProducts[Product],tblProducts[Target_Units],"Not Found")</f>
        <v>950</v>
      </c>
    </row>
    <row r="662" spans="1:12" x14ac:dyDescent="0.3">
      <c r="A662" s="1">
        <v>46097</v>
      </c>
      <c r="B662" t="s">
        <v>15</v>
      </c>
      <c r="C662" t="s">
        <v>13</v>
      </c>
      <c r="D662" t="s">
        <v>18</v>
      </c>
      <c r="E662">
        <v>722</v>
      </c>
      <c r="F662">
        <v>25</v>
      </c>
      <c r="G662">
        <v>28</v>
      </c>
      <c r="H662">
        <v>697</v>
      </c>
      <c r="I662">
        <v>3.4626038781163442</v>
      </c>
      <c r="J662">
        <v>96.53739612188366</v>
      </c>
      <c r="K662" t="str">
        <f>_xlfn.XLOOKUP(tblProduction[[#This Row],[Product]],tblProducts[Product],tblProducts[Category],"Not Found")</f>
        <v>Assembly</v>
      </c>
      <c r="L662">
        <f>_xlfn.XLOOKUP(tblProduction[[#This Row],[Product]],tblProducts[Product],tblProducts[Target_Units],"Not Found")</f>
        <v>900</v>
      </c>
    </row>
    <row r="663" spans="1:12" x14ac:dyDescent="0.3">
      <c r="A663" s="1">
        <v>46097</v>
      </c>
      <c r="B663" t="s">
        <v>17</v>
      </c>
      <c r="C663" t="s">
        <v>10</v>
      </c>
      <c r="D663" t="s">
        <v>14</v>
      </c>
      <c r="E663">
        <v>705</v>
      </c>
      <c r="F663">
        <v>30</v>
      </c>
      <c r="G663">
        <v>18</v>
      </c>
      <c r="H663">
        <v>675</v>
      </c>
      <c r="I663">
        <v>4.2553191489361701</v>
      </c>
      <c r="J663">
        <v>95.744680851063833</v>
      </c>
      <c r="K663" t="str">
        <f>_xlfn.XLOOKUP(tblProduction[[#This Row],[Product]],tblProducts[Product],tblProducts[Category],"Not Found")</f>
        <v>Assembly</v>
      </c>
      <c r="L663">
        <f>_xlfn.XLOOKUP(tblProduction[[#This Row],[Product]],tblProducts[Product],tblProducts[Target_Units],"Not Found")</f>
        <v>850</v>
      </c>
    </row>
    <row r="664" spans="1:12" x14ac:dyDescent="0.3">
      <c r="A664" s="1">
        <v>46097</v>
      </c>
      <c r="B664" t="s">
        <v>17</v>
      </c>
      <c r="C664" t="s">
        <v>12</v>
      </c>
      <c r="D664" t="s">
        <v>16</v>
      </c>
      <c r="E664">
        <v>810</v>
      </c>
      <c r="F664">
        <v>28</v>
      </c>
      <c r="G664">
        <v>4</v>
      </c>
      <c r="H664">
        <v>782</v>
      </c>
      <c r="I664">
        <v>3.4567901234567899</v>
      </c>
      <c r="J664">
        <v>96.543209876543216</v>
      </c>
      <c r="K664" t="str">
        <f>_xlfn.XLOOKUP(tblProduction[[#This Row],[Product]],tblProducts[Product],tblProducts[Category],"Not Found")</f>
        <v>Standard</v>
      </c>
      <c r="L664">
        <f>_xlfn.XLOOKUP(tblProduction[[#This Row],[Product]],tblProducts[Product],tblProducts[Target_Units],"Not Found")</f>
        <v>1000</v>
      </c>
    </row>
    <row r="665" spans="1:12" x14ac:dyDescent="0.3">
      <c r="A665" s="1">
        <v>46097</v>
      </c>
      <c r="B665" t="s">
        <v>17</v>
      </c>
      <c r="C665" t="s">
        <v>13</v>
      </c>
      <c r="D665" t="s">
        <v>16</v>
      </c>
      <c r="E665">
        <v>732</v>
      </c>
      <c r="F665">
        <v>32</v>
      </c>
      <c r="G665">
        <v>53</v>
      </c>
      <c r="H665">
        <v>700</v>
      </c>
      <c r="I665">
        <v>4.3715846994535523</v>
      </c>
      <c r="J665">
        <v>95.628415300546436</v>
      </c>
      <c r="K665" t="str">
        <f>_xlfn.XLOOKUP(tblProduction[[#This Row],[Product]],tblProducts[Product],tblProducts[Category],"Not Found")</f>
        <v>Standard</v>
      </c>
      <c r="L665">
        <f>_xlfn.XLOOKUP(tblProduction[[#This Row],[Product]],tblProducts[Product],tblProducts[Target_Units],"Not Found")</f>
        <v>1000</v>
      </c>
    </row>
    <row r="666" spans="1:12" x14ac:dyDescent="0.3">
      <c r="A666" s="1">
        <v>46098</v>
      </c>
      <c r="B666" t="s">
        <v>9</v>
      </c>
      <c r="C666" t="s">
        <v>10</v>
      </c>
      <c r="D666" t="s">
        <v>16</v>
      </c>
      <c r="E666">
        <v>1029</v>
      </c>
      <c r="F666">
        <v>15</v>
      </c>
      <c r="G666">
        <v>27</v>
      </c>
      <c r="H666">
        <v>1014</v>
      </c>
      <c r="I666">
        <v>1.457725947521866</v>
      </c>
      <c r="J666">
        <v>98.542274052478135</v>
      </c>
      <c r="K666" t="str">
        <f>_xlfn.XLOOKUP(tblProduction[[#This Row],[Product]],tblProducts[Product],tblProducts[Category],"Not Found")</f>
        <v>Standard</v>
      </c>
      <c r="L666">
        <f>_xlfn.XLOOKUP(tblProduction[[#This Row],[Product]],tblProducts[Product],tblProducts[Target_Units],"Not Found")</f>
        <v>1000</v>
      </c>
    </row>
    <row r="667" spans="1:12" x14ac:dyDescent="0.3">
      <c r="A667" s="1">
        <v>46098</v>
      </c>
      <c r="B667" t="s">
        <v>9</v>
      </c>
      <c r="C667" t="s">
        <v>12</v>
      </c>
      <c r="D667" t="s">
        <v>11</v>
      </c>
      <c r="E667">
        <v>980</v>
      </c>
      <c r="F667">
        <v>14</v>
      </c>
      <c r="G667">
        <v>20</v>
      </c>
      <c r="H667">
        <v>966</v>
      </c>
      <c r="I667">
        <v>1.428571428571429</v>
      </c>
      <c r="J667">
        <v>98.571428571428584</v>
      </c>
      <c r="K667" t="str">
        <f>_xlfn.XLOOKUP(tblProduction[[#This Row],[Product]],tblProducts[Product],tblProducts[Category],"Not Found")</f>
        <v>Precision</v>
      </c>
      <c r="L667">
        <f>_xlfn.XLOOKUP(tblProduction[[#This Row],[Product]],tblProducts[Product],tblProducts[Target_Units],"Not Found")</f>
        <v>950</v>
      </c>
    </row>
    <row r="668" spans="1:12" x14ac:dyDescent="0.3">
      <c r="A668" s="1">
        <v>46098</v>
      </c>
      <c r="B668" t="s">
        <v>9</v>
      </c>
      <c r="C668" t="s">
        <v>13</v>
      </c>
      <c r="D668" t="s">
        <v>11</v>
      </c>
      <c r="E668">
        <v>790</v>
      </c>
      <c r="F668">
        <v>19</v>
      </c>
      <c r="G668">
        <v>84</v>
      </c>
      <c r="H668">
        <v>771</v>
      </c>
      <c r="I668">
        <v>2.40506329113924</v>
      </c>
      <c r="J668">
        <v>97.594936708860757</v>
      </c>
      <c r="K668" t="str">
        <f>_xlfn.XLOOKUP(tblProduction[[#This Row],[Product]],tblProducts[Product],tblProducts[Category],"Not Found")</f>
        <v>Precision</v>
      </c>
      <c r="L668">
        <f>_xlfn.XLOOKUP(tblProduction[[#This Row],[Product]],tblProducts[Product],tblProducts[Target_Units],"Not Found")</f>
        <v>950</v>
      </c>
    </row>
    <row r="669" spans="1:12" x14ac:dyDescent="0.3">
      <c r="A669" s="1">
        <v>46098</v>
      </c>
      <c r="B669" t="s">
        <v>15</v>
      </c>
      <c r="C669" t="s">
        <v>10</v>
      </c>
      <c r="D669" t="s">
        <v>14</v>
      </c>
      <c r="E669">
        <v>763</v>
      </c>
      <c r="F669">
        <v>25</v>
      </c>
      <c r="G669">
        <v>47</v>
      </c>
      <c r="H669">
        <v>738</v>
      </c>
      <c r="I669">
        <v>3.2765399737876799</v>
      </c>
      <c r="J669">
        <v>96.723460026212322</v>
      </c>
      <c r="K669" t="str">
        <f>_xlfn.XLOOKUP(tblProduction[[#This Row],[Product]],tblProducts[Product],tblProducts[Category],"Not Found")</f>
        <v>Assembly</v>
      </c>
      <c r="L669">
        <f>_xlfn.XLOOKUP(tblProduction[[#This Row],[Product]],tblProducts[Product],tblProducts[Target_Units],"Not Found")</f>
        <v>850</v>
      </c>
    </row>
    <row r="670" spans="1:12" x14ac:dyDescent="0.3">
      <c r="A670" s="1">
        <v>46098</v>
      </c>
      <c r="B670" t="s">
        <v>15</v>
      </c>
      <c r="C670" t="s">
        <v>12</v>
      </c>
      <c r="D670" t="s">
        <v>14</v>
      </c>
      <c r="E670">
        <v>687</v>
      </c>
      <c r="F670">
        <v>22</v>
      </c>
      <c r="G670">
        <v>84</v>
      </c>
      <c r="H670">
        <v>665</v>
      </c>
      <c r="I670">
        <v>3.2023289665211059</v>
      </c>
      <c r="J670">
        <v>96.797671033478892</v>
      </c>
      <c r="K670" t="str">
        <f>_xlfn.XLOOKUP(tblProduction[[#This Row],[Product]],tblProducts[Product],tblProducts[Category],"Not Found")</f>
        <v>Assembly</v>
      </c>
      <c r="L670">
        <f>_xlfn.XLOOKUP(tblProduction[[#This Row],[Product]],tblProducts[Product],tblProducts[Target_Units],"Not Found")</f>
        <v>850</v>
      </c>
    </row>
    <row r="671" spans="1:12" x14ac:dyDescent="0.3">
      <c r="A671" s="1">
        <v>46098</v>
      </c>
      <c r="B671" t="s">
        <v>15</v>
      </c>
      <c r="C671" t="s">
        <v>13</v>
      </c>
      <c r="D671" t="s">
        <v>16</v>
      </c>
      <c r="E671">
        <v>779</v>
      </c>
      <c r="F671">
        <v>27</v>
      </c>
      <c r="G671">
        <v>73</v>
      </c>
      <c r="H671">
        <v>752</v>
      </c>
      <c r="I671">
        <v>3.4659820282413349</v>
      </c>
      <c r="J671">
        <v>96.534017971758672</v>
      </c>
      <c r="K671" t="str">
        <f>_xlfn.XLOOKUP(tblProduction[[#This Row],[Product]],tblProducts[Product],tblProducts[Category],"Not Found")</f>
        <v>Standard</v>
      </c>
      <c r="L671">
        <f>_xlfn.XLOOKUP(tblProduction[[#This Row],[Product]],tblProducts[Product],tblProducts[Target_Units],"Not Found")</f>
        <v>1000</v>
      </c>
    </row>
    <row r="672" spans="1:12" x14ac:dyDescent="0.3">
      <c r="A672" s="1">
        <v>46098</v>
      </c>
      <c r="B672" t="s">
        <v>17</v>
      </c>
      <c r="C672" t="s">
        <v>10</v>
      </c>
      <c r="D672" t="s">
        <v>18</v>
      </c>
      <c r="E672">
        <v>712</v>
      </c>
      <c r="F672">
        <v>24</v>
      </c>
      <c r="G672">
        <v>70</v>
      </c>
      <c r="H672">
        <v>688</v>
      </c>
      <c r="I672">
        <v>3.3707865168539319</v>
      </c>
      <c r="J672">
        <v>96.629213483146074</v>
      </c>
      <c r="K672" t="str">
        <f>_xlfn.XLOOKUP(tblProduction[[#This Row],[Product]],tblProducts[Product],tblProducts[Category],"Not Found")</f>
        <v>Assembly</v>
      </c>
      <c r="L672">
        <f>_xlfn.XLOOKUP(tblProduction[[#This Row],[Product]],tblProducts[Product],tblProducts[Target_Units],"Not Found")</f>
        <v>900</v>
      </c>
    </row>
    <row r="673" spans="1:12" x14ac:dyDescent="0.3">
      <c r="A673" s="1">
        <v>46098</v>
      </c>
      <c r="B673" t="s">
        <v>17</v>
      </c>
      <c r="C673" t="s">
        <v>12</v>
      </c>
      <c r="D673" t="s">
        <v>14</v>
      </c>
      <c r="E673">
        <v>612</v>
      </c>
      <c r="F673">
        <v>26</v>
      </c>
      <c r="G673">
        <v>76</v>
      </c>
      <c r="H673">
        <v>586</v>
      </c>
      <c r="I673">
        <v>4.2483660130718954</v>
      </c>
      <c r="J673">
        <v>95.751633986928113</v>
      </c>
      <c r="K673" t="str">
        <f>_xlfn.XLOOKUP(tblProduction[[#This Row],[Product]],tblProducts[Product],tblProducts[Category],"Not Found")</f>
        <v>Assembly</v>
      </c>
      <c r="L673">
        <f>_xlfn.XLOOKUP(tblProduction[[#This Row],[Product]],tblProducts[Product],tblProducts[Target_Units],"Not Found")</f>
        <v>850</v>
      </c>
    </row>
    <row r="674" spans="1:12" x14ac:dyDescent="0.3">
      <c r="A674" s="1">
        <v>46098</v>
      </c>
      <c r="B674" t="s">
        <v>17</v>
      </c>
      <c r="C674" t="s">
        <v>13</v>
      </c>
      <c r="D674" t="s">
        <v>11</v>
      </c>
      <c r="E674">
        <v>712</v>
      </c>
      <c r="F674">
        <v>32</v>
      </c>
      <c r="G674">
        <v>11</v>
      </c>
      <c r="H674">
        <v>680</v>
      </c>
      <c r="I674">
        <v>4.4943820224719104</v>
      </c>
      <c r="J674">
        <v>95.50561797752809</v>
      </c>
      <c r="K674" t="str">
        <f>_xlfn.XLOOKUP(tblProduction[[#This Row],[Product]],tblProducts[Product],tblProducts[Category],"Not Found")</f>
        <v>Precision</v>
      </c>
      <c r="L674">
        <f>_xlfn.XLOOKUP(tblProduction[[#This Row],[Product]],tblProducts[Product],tblProducts[Target_Units],"Not Found")</f>
        <v>950</v>
      </c>
    </row>
    <row r="675" spans="1:12" x14ac:dyDescent="0.3">
      <c r="A675" s="1">
        <v>46099</v>
      </c>
      <c r="B675" t="s">
        <v>9</v>
      </c>
      <c r="C675" t="s">
        <v>10</v>
      </c>
      <c r="D675" t="s">
        <v>16</v>
      </c>
      <c r="E675">
        <v>1073</v>
      </c>
      <c r="F675">
        <v>16</v>
      </c>
      <c r="G675">
        <v>21</v>
      </c>
      <c r="H675">
        <v>1057</v>
      </c>
      <c r="I675">
        <v>1.491146318732526</v>
      </c>
      <c r="J675">
        <v>98.508853681267468</v>
      </c>
      <c r="K675" t="str">
        <f>_xlfn.XLOOKUP(tblProduction[[#This Row],[Product]],tblProducts[Product],tblProducts[Category],"Not Found")</f>
        <v>Standard</v>
      </c>
      <c r="L675">
        <f>_xlfn.XLOOKUP(tblProduction[[#This Row],[Product]],tblProducts[Product],tblProducts[Target_Units],"Not Found")</f>
        <v>1000</v>
      </c>
    </row>
    <row r="676" spans="1:12" x14ac:dyDescent="0.3">
      <c r="A676" s="1">
        <v>46099</v>
      </c>
      <c r="B676" t="s">
        <v>9</v>
      </c>
      <c r="C676" t="s">
        <v>12</v>
      </c>
      <c r="D676" t="s">
        <v>16</v>
      </c>
      <c r="E676">
        <v>1019</v>
      </c>
      <c r="F676">
        <v>15</v>
      </c>
      <c r="G676">
        <v>37</v>
      </c>
      <c r="H676">
        <v>1004</v>
      </c>
      <c r="I676">
        <v>1.4720314033366051</v>
      </c>
      <c r="J676">
        <v>98.527968596663399</v>
      </c>
      <c r="K676" t="str">
        <f>_xlfn.XLOOKUP(tblProduction[[#This Row],[Product]],tblProducts[Product],tblProducts[Category],"Not Found")</f>
        <v>Standard</v>
      </c>
      <c r="L676">
        <f>_xlfn.XLOOKUP(tblProduction[[#This Row],[Product]],tblProducts[Product],tblProducts[Target_Units],"Not Found")</f>
        <v>1000</v>
      </c>
    </row>
    <row r="677" spans="1:12" x14ac:dyDescent="0.3">
      <c r="A677" s="1">
        <v>46099</v>
      </c>
      <c r="B677" t="s">
        <v>9</v>
      </c>
      <c r="C677" t="s">
        <v>13</v>
      </c>
      <c r="D677" t="s">
        <v>18</v>
      </c>
      <c r="E677">
        <v>737</v>
      </c>
      <c r="F677">
        <v>18</v>
      </c>
      <c r="G677">
        <v>87</v>
      </c>
      <c r="H677">
        <v>719</v>
      </c>
      <c r="I677">
        <v>2.4423337856173681</v>
      </c>
      <c r="J677">
        <v>97.557666214382635</v>
      </c>
      <c r="K677" t="str">
        <f>_xlfn.XLOOKUP(tblProduction[[#This Row],[Product]],tblProducts[Product],tblProducts[Category],"Not Found")</f>
        <v>Assembly</v>
      </c>
      <c r="L677">
        <f>_xlfn.XLOOKUP(tblProduction[[#This Row],[Product]],tblProducts[Product],tblProducts[Target_Units],"Not Found")</f>
        <v>900</v>
      </c>
    </row>
    <row r="678" spans="1:12" x14ac:dyDescent="0.3">
      <c r="A678" s="1">
        <v>46099</v>
      </c>
      <c r="B678" t="s">
        <v>15</v>
      </c>
      <c r="C678" t="s">
        <v>10</v>
      </c>
      <c r="D678" t="s">
        <v>11</v>
      </c>
      <c r="E678">
        <v>869</v>
      </c>
      <c r="F678">
        <v>21</v>
      </c>
      <c r="G678">
        <v>43</v>
      </c>
      <c r="H678">
        <v>848</v>
      </c>
      <c r="I678">
        <v>2.416570771001151</v>
      </c>
      <c r="J678">
        <v>97.583429228998853</v>
      </c>
      <c r="K678" t="str">
        <f>_xlfn.XLOOKUP(tblProduction[[#This Row],[Product]],tblProducts[Product],tblProducts[Category],"Not Found")</f>
        <v>Precision</v>
      </c>
      <c r="L678">
        <f>_xlfn.XLOOKUP(tblProduction[[#This Row],[Product]],tblProducts[Product],tblProducts[Target_Units],"Not Found")</f>
        <v>950</v>
      </c>
    </row>
    <row r="679" spans="1:12" x14ac:dyDescent="0.3">
      <c r="A679" s="1">
        <v>46099</v>
      </c>
      <c r="B679" t="s">
        <v>15</v>
      </c>
      <c r="C679" t="s">
        <v>12</v>
      </c>
      <c r="D679" t="s">
        <v>18</v>
      </c>
      <c r="E679">
        <v>810</v>
      </c>
      <c r="F679">
        <v>20</v>
      </c>
      <c r="G679">
        <v>28</v>
      </c>
      <c r="H679">
        <v>790</v>
      </c>
      <c r="I679">
        <v>2.4691358024691361</v>
      </c>
      <c r="J679">
        <v>97.53086419753086</v>
      </c>
      <c r="K679" t="str">
        <f>_xlfn.XLOOKUP(tblProduction[[#This Row],[Product]],tblProducts[Product],tblProducts[Category],"Not Found")</f>
        <v>Assembly</v>
      </c>
      <c r="L679">
        <f>_xlfn.XLOOKUP(tblProduction[[#This Row],[Product]],tblProducts[Product],tblProducts[Target_Units],"Not Found")</f>
        <v>900</v>
      </c>
    </row>
    <row r="680" spans="1:12" x14ac:dyDescent="0.3">
      <c r="A680" s="1">
        <v>46099</v>
      </c>
      <c r="B680" t="s">
        <v>15</v>
      </c>
      <c r="C680" t="s">
        <v>13</v>
      </c>
      <c r="D680" t="s">
        <v>16</v>
      </c>
      <c r="E680">
        <v>818</v>
      </c>
      <c r="F680">
        <v>28</v>
      </c>
      <c r="G680">
        <v>52</v>
      </c>
      <c r="H680">
        <v>790</v>
      </c>
      <c r="I680">
        <v>3.4229828850855739</v>
      </c>
      <c r="J680">
        <v>96.577017114914426</v>
      </c>
      <c r="K680" t="str">
        <f>_xlfn.XLOOKUP(tblProduction[[#This Row],[Product]],tblProducts[Product],tblProducts[Category],"Not Found")</f>
        <v>Standard</v>
      </c>
      <c r="L680">
        <f>_xlfn.XLOOKUP(tblProduction[[#This Row],[Product]],tblProducts[Product],tblProducts[Target_Units],"Not Found")</f>
        <v>1000</v>
      </c>
    </row>
    <row r="681" spans="1:12" x14ac:dyDescent="0.3">
      <c r="A681" s="1">
        <v>46099</v>
      </c>
      <c r="B681" t="s">
        <v>17</v>
      </c>
      <c r="C681" t="s">
        <v>10</v>
      </c>
      <c r="D681" t="s">
        <v>18</v>
      </c>
      <c r="E681">
        <v>726</v>
      </c>
      <c r="F681">
        <v>25</v>
      </c>
      <c r="G681">
        <v>73</v>
      </c>
      <c r="H681">
        <v>701</v>
      </c>
      <c r="I681">
        <v>3.443526170798898</v>
      </c>
      <c r="J681">
        <v>96.55647382920111</v>
      </c>
      <c r="K681" t="str">
        <f>_xlfn.XLOOKUP(tblProduction[[#This Row],[Product]],tblProducts[Product],tblProducts[Category],"Not Found")</f>
        <v>Assembly</v>
      </c>
      <c r="L681">
        <f>_xlfn.XLOOKUP(tblProduction[[#This Row],[Product]],tblProducts[Product],tblProducts[Target_Units],"Not Found")</f>
        <v>900</v>
      </c>
    </row>
    <row r="682" spans="1:12" x14ac:dyDescent="0.3">
      <c r="A682" s="1">
        <v>46099</v>
      </c>
      <c r="B682" t="s">
        <v>17</v>
      </c>
      <c r="C682" t="s">
        <v>12</v>
      </c>
      <c r="D682" t="s">
        <v>11</v>
      </c>
      <c r="E682">
        <v>795</v>
      </c>
      <c r="F682">
        <v>27</v>
      </c>
      <c r="G682">
        <v>2</v>
      </c>
      <c r="H682">
        <v>768</v>
      </c>
      <c r="I682">
        <v>3.3962264150943402</v>
      </c>
      <c r="J682">
        <v>96.603773584905667</v>
      </c>
      <c r="K682" t="str">
        <f>_xlfn.XLOOKUP(tblProduction[[#This Row],[Product]],tblProducts[Product],tblProducts[Category],"Not Found")</f>
        <v>Precision</v>
      </c>
      <c r="L682">
        <f>_xlfn.XLOOKUP(tblProduction[[#This Row],[Product]],tblProducts[Product],tblProducts[Target_Units],"Not Found")</f>
        <v>950</v>
      </c>
    </row>
    <row r="683" spans="1:12" x14ac:dyDescent="0.3">
      <c r="A683" s="1">
        <v>46099</v>
      </c>
      <c r="B683" t="s">
        <v>9</v>
      </c>
      <c r="C683" t="s">
        <v>13</v>
      </c>
      <c r="D683" t="s">
        <v>11</v>
      </c>
      <c r="E683">
        <v>644</v>
      </c>
      <c r="F683">
        <v>28</v>
      </c>
      <c r="G683">
        <v>71</v>
      </c>
      <c r="H683">
        <v>616</v>
      </c>
      <c r="I683">
        <v>4.3478260869565224</v>
      </c>
      <c r="J683">
        <v>95.652173913043484</v>
      </c>
      <c r="K683" t="str">
        <f>_xlfn.XLOOKUP(tblProduction[[#This Row],[Product]],tblProducts[Product],tblProducts[Category],"Not Found")</f>
        <v>Precision</v>
      </c>
      <c r="L683">
        <f>_xlfn.XLOOKUP(tblProduction[[#This Row],[Product]],tblProducts[Product],tblProducts[Target_Units],"Not Found")</f>
        <v>950</v>
      </c>
    </row>
    <row r="684" spans="1:12" x14ac:dyDescent="0.3">
      <c r="A684" s="1">
        <v>46100</v>
      </c>
      <c r="B684" t="s">
        <v>9</v>
      </c>
      <c r="C684" t="s">
        <v>10</v>
      </c>
      <c r="D684" t="s">
        <v>11</v>
      </c>
      <c r="E684">
        <v>996</v>
      </c>
      <c r="F684">
        <v>14</v>
      </c>
      <c r="G684">
        <v>13</v>
      </c>
      <c r="H684">
        <v>982</v>
      </c>
      <c r="I684">
        <v>1.4056224899598391</v>
      </c>
      <c r="J684">
        <v>98.594377510040161</v>
      </c>
      <c r="K684" t="str">
        <f>_xlfn.XLOOKUP(tblProduction[[#This Row],[Product]],tblProducts[Product],tblProducts[Category],"Not Found")</f>
        <v>Precision</v>
      </c>
      <c r="L684">
        <f>_xlfn.XLOOKUP(tblProduction[[#This Row],[Product]],tblProducts[Product],tblProducts[Target_Units],"Not Found")</f>
        <v>950</v>
      </c>
    </row>
    <row r="685" spans="1:12" x14ac:dyDescent="0.3">
      <c r="A685" s="1">
        <v>46100</v>
      </c>
      <c r="B685" t="s">
        <v>9</v>
      </c>
      <c r="C685" t="s">
        <v>12</v>
      </c>
      <c r="D685" t="s">
        <v>18</v>
      </c>
      <c r="E685">
        <v>835</v>
      </c>
      <c r="F685">
        <v>12</v>
      </c>
      <c r="G685">
        <v>71</v>
      </c>
      <c r="H685">
        <v>823</v>
      </c>
      <c r="I685">
        <v>1.437125748502994</v>
      </c>
      <c r="J685">
        <v>98.562874251497007</v>
      </c>
      <c r="K685" t="str">
        <f>_xlfn.XLOOKUP(tblProduction[[#This Row],[Product]],tblProducts[Product],tblProducts[Category],"Not Found")</f>
        <v>Assembly</v>
      </c>
      <c r="L685">
        <f>_xlfn.XLOOKUP(tblProduction[[#This Row],[Product]],tblProducts[Product],tblProducts[Target_Units],"Not Found")</f>
        <v>900</v>
      </c>
    </row>
    <row r="686" spans="1:12" x14ac:dyDescent="0.3">
      <c r="A686" s="1">
        <v>46100</v>
      </c>
      <c r="B686" t="s">
        <v>9</v>
      </c>
      <c r="C686" t="s">
        <v>13</v>
      </c>
      <c r="D686" t="s">
        <v>11</v>
      </c>
      <c r="E686">
        <v>902</v>
      </c>
      <c r="F686">
        <v>22</v>
      </c>
      <c r="G686">
        <v>8</v>
      </c>
      <c r="H686">
        <v>880</v>
      </c>
      <c r="I686">
        <v>2.4390243902439019</v>
      </c>
      <c r="J686">
        <v>97.560975609756099</v>
      </c>
      <c r="K686" t="str">
        <f>_xlfn.XLOOKUP(tblProduction[[#This Row],[Product]],tblProducts[Product],tblProducts[Category],"Not Found")</f>
        <v>Precision</v>
      </c>
      <c r="L686">
        <f>_xlfn.XLOOKUP(tblProduction[[#This Row],[Product]],tblProducts[Product],tblProducts[Target_Units],"Not Found")</f>
        <v>950</v>
      </c>
    </row>
    <row r="687" spans="1:12" x14ac:dyDescent="0.3">
      <c r="A687" s="1">
        <v>46100</v>
      </c>
      <c r="B687" t="s">
        <v>15</v>
      </c>
      <c r="C687" t="s">
        <v>10</v>
      </c>
      <c r="D687" t="s">
        <v>16</v>
      </c>
      <c r="E687">
        <v>863</v>
      </c>
      <c r="F687">
        <v>21</v>
      </c>
      <c r="G687">
        <v>57</v>
      </c>
      <c r="H687">
        <v>842</v>
      </c>
      <c r="I687">
        <v>2.4333719582850519</v>
      </c>
      <c r="J687">
        <v>97.566628041714949</v>
      </c>
      <c r="K687" t="str">
        <f>_xlfn.XLOOKUP(tblProduction[[#This Row],[Product]],tblProducts[Product],tblProducts[Category],"Not Found")</f>
        <v>Standard</v>
      </c>
      <c r="L687">
        <f>_xlfn.XLOOKUP(tblProduction[[#This Row],[Product]],tblProducts[Product],tblProducts[Target_Units],"Not Found")</f>
        <v>1000</v>
      </c>
    </row>
    <row r="688" spans="1:12" x14ac:dyDescent="0.3">
      <c r="A688" s="1">
        <v>46100</v>
      </c>
      <c r="B688" t="s">
        <v>15</v>
      </c>
      <c r="C688" t="s">
        <v>12</v>
      </c>
      <c r="D688" t="s">
        <v>11</v>
      </c>
      <c r="E688">
        <v>884</v>
      </c>
      <c r="F688">
        <v>22</v>
      </c>
      <c r="G688">
        <v>37</v>
      </c>
      <c r="H688">
        <v>862</v>
      </c>
      <c r="I688">
        <v>2.4886877828054299</v>
      </c>
      <c r="J688">
        <v>97.511312217194572</v>
      </c>
      <c r="K688" t="str">
        <f>_xlfn.XLOOKUP(tblProduction[[#This Row],[Product]],tblProducts[Product],tblProducts[Category],"Not Found")</f>
        <v>Precision</v>
      </c>
      <c r="L688">
        <f>_xlfn.XLOOKUP(tblProduction[[#This Row],[Product]],tblProducts[Product],tblProducts[Target_Units],"Not Found")</f>
        <v>950</v>
      </c>
    </row>
    <row r="689" spans="1:12" x14ac:dyDescent="0.3">
      <c r="A689" s="1">
        <v>46100</v>
      </c>
      <c r="B689" t="s">
        <v>15</v>
      </c>
      <c r="C689" t="s">
        <v>13</v>
      </c>
      <c r="D689" t="s">
        <v>18</v>
      </c>
      <c r="E689">
        <v>702</v>
      </c>
      <c r="F689">
        <v>24</v>
      </c>
      <c r="G689">
        <v>81</v>
      </c>
      <c r="H689">
        <v>678</v>
      </c>
      <c r="I689">
        <v>3.4188034188034191</v>
      </c>
      <c r="J689">
        <v>96.581196581196579</v>
      </c>
      <c r="K689" t="str">
        <f>_xlfn.XLOOKUP(tblProduction[[#This Row],[Product]],tblProducts[Product],tblProducts[Category],"Not Found")</f>
        <v>Assembly</v>
      </c>
      <c r="L689">
        <f>_xlfn.XLOOKUP(tblProduction[[#This Row],[Product]],tblProducts[Product],tblProducts[Target_Units],"Not Found")</f>
        <v>900</v>
      </c>
    </row>
    <row r="690" spans="1:12" x14ac:dyDescent="0.3">
      <c r="A690" s="1">
        <v>46100</v>
      </c>
      <c r="B690" t="s">
        <v>17</v>
      </c>
      <c r="C690" t="s">
        <v>10</v>
      </c>
      <c r="D690" t="s">
        <v>14</v>
      </c>
      <c r="E690">
        <v>679</v>
      </c>
      <c r="F690">
        <v>29</v>
      </c>
      <c r="G690">
        <v>59</v>
      </c>
      <c r="H690">
        <v>650</v>
      </c>
      <c r="I690">
        <v>4.2709867452135493</v>
      </c>
      <c r="J690">
        <v>95.729013254786452</v>
      </c>
      <c r="K690" t="str">
        <f>_xlfn.XLOOKUP(tblProduction[[#This Row],[Product]],tblProducts[Product],tblProducts[Category],"Not Found")</f>
        <v>Assembly</v>
      </c>
      <c r="L690">
        <f>_xlfn.XLOOKUP(tblProduction[[#This Row],[Product]],tblProducts[Product],tblProducts[Target_Units],"Not Found")</f>
        <v>850</v>
      </c>
    </row>
    <row r="691" spans="1:12" x14ac:dyDescent="0.3">
      <c r="A691" s="1">
        <v>46100</v>
      </c>
      <c r="B691" t="s">
        <v>17</v>
      </c>
      <c r="C691" t="s">
        <v>12</v>
      </c>
      <c r="D691" t="s">
        <v>18</v>
      </c>
      <c r="E691">
        <v>702</v>
      </c>
      <c r="F691">
        <v>24</v>
      </c>
      <c r="G691">
        <v>32</v>
      </c>
      <c r="H691">
        <v>678</v>
      </c>
      <c r="I691">
        <v>3.4188034188034191</v>
      </c>
      <c r="J691">
        <v>96.581196581196579</v>
      </c>
      <c r="K691" t="str">
        <f>_xlfn.XLOOKUP(tblProduction[[#This Row],[Product]],tblProducts[Product],tblProducts[Category],"Not Found")</f>
        <v>Assembly</v>
      </c>
      <c r="L691">
        <f>_xlfn.XLOOKUP(tblProduction[[#This Row],[Product]],tblProducts[Product],tblProducts[Target_Units],"Not Found")</f>
        <v>900</v>
      </c>
    </row>
    <row r="692" spans="1:12" x14ac:dyDescent="0.3">
      <c r="A692" s="1">
        <v>46100</v>
      </c>
      <c r="B692" t="s">
        <v>17</v>
      </c>
      <c r="C692" t="s">
        <v>13</v>
      </c>
      <c r="D692" t="s">
        <v>11</v>
      </c>
      <c r="E692">
        <v>716</v>
      </c>
      <c r="F692">
        <v>32</v>
      </c>
      <c r="G692">
        <v>43</v>
      </c>
      <c r="H692">
        <v>684</v>
      </c>
      <c r="I692">
        <v>4.4692737430167604</v>
      </c>
      <c r="J692">
        <v>95.530726256983243</v>
      </c>
      <c r="K692" t="str">
        <f>_xlfn.XLOOKUP(tblProduction[[#This Row],[Product]],tblProducts[Product],tblProducts[Category],"Not Found")</f>
        <v>Precision</v>
      </c>
      <c r="L692">
        <f>_xlfn.XLOOKUP(tblProduction[[#This Row],[Product]],tblProducts[Product],tblProducts[Target_Units],"Not Found")</f>
        <v>950</v>
      </c>
    </row>
    <row r="693" spans="1:12" x14ac:dyDescent="0.3">
      <c r="A693" s="1">
        <v>46101</v>
      </c>
      <c r="B693" t="s">
        <v>9</v>
      </c>
      <c r="C693" t="s">
        <v>10</v>
      </c>
      <c r="D693" t="s">
        <v>14</v>
      </c>
      <c r="E693">
        <v>890</v>
      </c>
      <c r="F693">
        <v>20</v>
      </c>
      <c r="G693">
        <v>9</v>
      </c>
      <c r="H693">
        <v>870</v>
      </c>
      <c r="I693">
        <v>2.2471910112359552</v>
      </c>
      <c r="J693">
        <v>97.752808988764045</v>
      </c>
      <c r="K693" t="str">
        <f>_xlfn.XLOOKUP(tblProduction[[#This Row],[Product]],tblProducts[Product],tblProducts[Category],"Not Found")</f>
        <v>Assembly</v>
      </c>
      <c r="L693">
        <f>_xlfn.XLOOKUP(tblProduction[[#This Row],[Product]],tblProducts[Product],tblProducts[Target_Units],"Not Found")</f>
        <v>850</v>
      </c>
    </row>
    <row r="694" spans="1:12" x14ac:dyDescent="0.3">
      <c r="A694" s="1">
        <v>46101</v>
      </c>
      <c r="B694" t="s">
        <v>9</v>
      </c>
      <c r="C694" t="s">
        <v>12</v>
      </c>
      <c r="D694" t="s">
        <v>14</v>
      </c>
      <c r="E694">
        <v>784</v>
      </c>
      <c r="F694">
        <v>18</v>
      </c>
      <c r="G694">
        <v>69</v>
      </c>
      <c r="H694">
        <v>766</v>
      </c>
      <c r="I694">
        <v>2.295918367346939</v>
      </c>
      <c r="J694">
        <v>97.704081632653057</v>
      </c>
      <c r="K694" t="str">
        <f>_xlfn.XLOOKUP(tblProduction[[#This Row],[Product]],tblProducts[Product],tblProducts[Category],"Not Found")</f>
        <v>Assembly</v>
      </c>
      <c r="L694">
        <f>_xlfn.XLOOKUP(tblProduction[[#This Row],[Product]],tblProducts[Product],tblProducts[Target_Units],"Not Found")</f>
        <v>850</v>
      </c>
    </row>
    <row r="695" spans="1:12" x14ac:dyDescent="0.3">
      <c r="A695" s="1">
        <v>46101</v>
      </c>
      <c r="B695" t="s">
        <v>9</v>
      </c>
      <c r="C695" t="s">
        <v>13</v>
      </c>
      <c r="D695" t="s">
        <v>16</v>
      </c>
      <c r="E695">
        <v>871</v>
      </c>
      <c r="F695">
        <v>21</v>
      </c>
      <c r="G695">
        <v>49</v>
      </c>
      <c r="H695">
        <v>850</v>
      </c>
      <c r="I695">
        <v>2.411021814006888</v>
      </c>
      <c r="J695">
        <v>97.588978185993113</v>
      </c>
      <c r="K695" t="str">
        <f>_xlfn.XLOOKUP(tblProduction[[#This Row],[Product]],tblProducts[Product],tblProducts[Category],"Not Found")</f>
        <v>Standard</v>
      </c>
      <c r="L695">
        <f>_xlfn.XLOOKUP(tblProduction[[#This Row],[Product]],tblProducts[Product],tblProducts[Target_Units],"Not Found")</f>
        <v>1000</v>
      </c>
    </row>
    <row r="696" spans="1:12" x14ac:dyDescent="0.3">
      <c r="A696" s="1">
        <v>46101</v>
      </c>
      <c r="B696" t="s">
        <v>15</v>
      </c>
      <c r="C696" t="s">
        <v>10</v>
      </c>
      <c r="D696" t="s">
        <v>18</v>
      </c>
      <c r="E696">
        <v>846</v>
      </c>
      <c r="F696">
        <v>21</v>
      </c>
      <c r="G696">
        <v>25</v>
      </c>
      <c r="H696">
        <v>825</v>
      </c>
      <c r="I696">
        <v>2.4822695035461</v>
      </c>
      <c r="J696">
        <v>97.517730496453908</v>
      </c>
      <c r="K696" t="str">
        <f>_xlfn.XLOOKUP(tblProduction[[#This Row],[Product]],tblProducts[Product],tblProducts[Category],"Not Found")</f>
        <v>Assembly</v>
      </c>
      <c r="L696">
        <f>_xlfn.XLOOKUP(tblProduction[[#This Row],[Product]],tblProducts[Product],tblProducts[Target_Units],"Not Found")</f>
        <v>900</v>
      </c>
    </row>
    <row r="697" spans="1:12" x14ac:dyDescent="0.3">
      <c r="A697" s="1">
        <v>46101</v>
      </c>
      <c r="B697" t="s">
        <v>15</v>
      </c>
      <c r="C697" t="s">
        <v>12</v>
      </c>
      <c r="D697" t="s">
        <v>18</v>
      </c>
      <c r="E697">
        <v>718</v>
      </c>
      <c r="F697">
        <v>17</v>
      </c>
      <c r="G697">
        <v>85</v>
      </c>
      <c r="H697">
        <v>701</v>
      </c>
      <c r="I697">
        <v>2.3676880222841219</v>
      </c>
      <c r="J697">
        <v>97.632311977715887</v>
      </c>
      <c r="K697" t="str">
        <f>_xlfn.XLOOKUP(tblProduction[[#This Row],[Product]],tblProducts[Product],tblProducts[Category],"Not Found")</f>
        <v>Assembly</v>
      </c>
      <c r="L697">
        <f>_xlfn.XLOOKUP(tblProduction[[#This Row],[Product]],tblProducts[Product],tblProducts[Target_Units],"Not Found")</f>
        <v>900</v>
      </c>
    </row>
    <row r="698" spans="1:12" x14ac:dyDescent="0.3">
      <c r="A698" s="1">
        <v>46101</v>
      </c>
      <c r="B698" t="s">
        <v>15</v>
      </c>
      <c r="C698" t="s">
        <v>13</v>
      </c>
      <c r="D698" t="s">
        <v>14</v>
      </c>
      <c r="E698">
        <v>720</v>
      </c>
      <c r="F698">
        <v>30</v>
      </c>
      <c r="G698">
        <v>15</v>
      </c>
      <c r="H698">
        <v>690</v>
      </c>
      <c r="I698">
        <v>4.1666666666666661</v>
      </c>
      <c r="J698">
        <v>95.833333333333343</v>
      </c>
      <c r="K698" t="str">
        <f>_xlfn.XLOOKUP(tblProduction[[#This Row],[Product]],tblProducts[Product],tblProducts[Category],"Not Found")</f>
        <v>Assembly</v>
      </c>
      <c r="L698">
        <f>_xlfn.XLOOKUP(tblProduction[[#This Row],[Product]],tblProducts[Product],tblProducts[Target_Units],"Not Found")</f>
        <v>850</v>
      </c>
    </row>
    <row r="699" spans="1:12" x14ac:dyDescent="0.3">
      <c r="A699" s="1">
        <v>46101</v>
      </c>
      <c r="B699" t="s">
        <v>17</v>
      </c>
      <c r="C699" t="s">
        <v>10</v>
      </c>
      <c r="D699" t="s">
        <v>16</v>
      </c>
      <c r="E699">
        <v>752</v>
      </c>
      <c r="F699">
        <v>26</v>
      </c>
      <c r="G699">
        <v>84</v>
      </c>
      <c r="H699">
        <v>726</v>
      </c>
      <c r="I699">
        <v>3.457446808510638</v>
      </c>
      <c r="J699">
        <v>96.542553191489361</v>
      </c>
      <c r="K699" t="str">
        <f>_xlfn.XLOOKUP(tblProduction[[#This Row],[Product]],tblProducts[Product],tblProducts[Category],"Not Found")</f>
        <v>Standard</v>
      </c>
      <c r="L699">
        <f>_xlfn.XLOOKUP(tblProduction[[#This Row],[Product]],tblProducts[Product],tblProducts[Target_Units],"Not Found")</f>
        <v>1000</v>
      </c>
    </row>
    <row r="700" spans="1:12" x14ac:dyDescent="0.3">
      <c r="A700" s="1">
        <v>46101</v>
      </c>
      <c r="B700" t="s">
        <v>17</v>
      </c>
      <c r="C700" t="s">
        <v>12</v>
      </c>
      <c r="D700" t="s">
        <v>14</v>
      </c>
      <c r="E700">
        <v>728</v>
      </c>
      <c r="F700">
        <v>31</v>
      </c>
      <c r="G700">
        <v>17</v>
      </c>
      <c r="H700">
        <v>697</v>
      </c>
      <c r="I700">
        <v>4.2582417582417582</v>
      </c>
      <c r="J700">
        <v>95.741758241758248</v>
      </c>
      <c r="K700" t="str">
        <f>_xlfn.XLOOKUP(tblProduction[[#This Row],[Product]],tblProducts[Product],tblProducts[Category],"Not Found")</f>
        <v>Assembly</v>
      </c>
      <c r="L700">
        <f>_xlfn.XLOOKUP(tblProduction[[#This Row],[Product]],tblProducts[Product],tblProducts[Target_Units],"Not Found")</f>
        <v>850</v>
      </c>
    </row>
    <row r="701" spans="1:12" x14ac:dyDescent="0.3">
      <c r="A701" s="1">
        <v>46101</v>
      </c>
      <c r="B701" t="s">
        <v>17</v>
      </c>
      <c r="C701" t="s">
        <v>13</v>
      </c>
      <c r="D701" t="s">
        <v>11</v>
      </c>
      <c r="E701">
        <v>741</v>
      </c>
      <c r="F701">
        <v>33</v>
      </c>
      <c r="G701">
        <v>18</v>
      </c>
      <c r="H701">
        <v>708</v>
      </c>
      <c r="I701">
        <v>4.4534412955465594</v>
      </c>
      <c r="J701">
        <v>95.546558704453446</v>
      </c>
      <c r="K701" t="str">
        <f>_xlfn.XLOOKUP(tblProduction[[#This Row],[Product]],tblProducts[Product],tblProducts[Category],"Not Found")</f>
        <v>Precision</v>
      </c>
      <c r="L701">
        <f>_xlfn.XLOOKUP(tblProduction[[#This Row],[Product]],tblProducts[Product],tblProducts[Target_Units],"Not Found")</f>
        <v>950</v>
      </c>
    </row>
    <row r="702" spans="1:12" x14ac:dyDescent="0.3">
      <c r="A702" s="1">
        <v>46102</v>
      </c>
      <c r="B702" t="s">
        <v>9</v>
      </c>
      <c r="C702" t="s">
        <v>10</v>
      </c>
      <c r="D702" t="s">
        <v>16</v>
      </c>
      <c r="E702">
        <v>998</v>
      </c>
      <c r="F702">
        <v>14</v>
      </c>
      <c r="G702">
        <v>71</v>
      </c>
      <c r="H702">
        <v>984</v>
      </c>
      <c r="I702">
        <v>1.402805611222445</v>
      </c>
      <c r="J702">
        <v>98.597194388777552</v>
      </c>
      <c r="K702" t="str">
        <f>_xlfn.XLOOKUP(tblProduction[[#This Row],[Product]],tblProducts[Product],tblProducts[Category],"Not Found")</f>
        <v>Standard</v>
      </c>
      <c r="L702">
        <f>_xlfn.XLOOKUP(tblProduction[[#This Row],[Product]],tblProducts[Product],tblProducts[Target_Units],"Not Found")</f>
        <v>1000</v>
      </c>
    </row>
    <row r="703" spans="1:12" x14ac:dyDescent="0.3">
      <c r="A703" s="1">
        <v>46102</v>
      </c>
      <c r="B703" t="s">
        <v>9</v>
      </c>
      <c r="C703" t="s">
        <v>12</v>
      </c>
      <c r="D703" t="s">
        <v>16</v>
      </c>
      <c r="E703">
        <v>956</v>
      </c>
      <c r="F703">
        <v>14</v>
      </c>
      <c r="G703">
        <v>22</v>
      </c>
      <c r="H703">
        <v>942</v>
      </c>
      <c r="I703">
        <v>1.464435146443515</v>
      </c>
      <c r="J703">
        <v>98.535564853556494</v>
      </c>
      <c r="K703" t="str">
        <f>_xlfn.XLOOKUP(tblProduction[[#This Row],[Product]],tblProducts[Product],tblProducts[Category],"Not Found")</f>
        <v>Standard</v>
      </c>
      <c r="L703">
        <f>_xlfn.XLOOKUP(tblProduction[[#This Row],[Product]],tblProducts[Product],tblProducts[Target_Units],"Not Found")</f>
        <v>1000</v>
      </c>
    </row>
    <row r="704" spans="1:12" x14ac:dyDescent="0.3">
      <c r="A704" s="1">
        <v>46102</v>
      </c>
      <c r="B704" t="s">
        <v>9</v>
      </c>
      <c r="C704" t="s">
        <v>13</v>
      </c>
      <c r="D704" t="s">
        <v>14</v>
      </c>
      <c r="E704">
        <v>824</v>
      </c>
      <c r="F704">
        <v>27</v>
      </c>
      <c r="G704">
        <v>11</v>
      </c>
      <c r="H704">
        <v>797</v>
      </c>
      <c r="I704">
        <v>3.2766990291262141</v>
      </c>
      <c r="J704">
        <v>96.72330097087378</v>
      </c>
      <c r="K704" t="str">
        <f>_xlfn.XLOOKUP(tblProduction[[#This Row],[Product]],tblProducts[Product],tblProducts[Category],"Not Found")</f>
        <v>Assembly</v>
      </c>
      <c r="L704">
        <f>_xlfn.XLOOKUP(tblProduction[[#This Row],[Product]],tblProducts[Product],tblProducts[Target_Units],"Not Found")</f>
        <v>850</v>
      </c>
    </row>
    <row r="705" spans="1:12" x14ac:dyDescent="0.3">
      <c r="A705" s="1">
        <v>46102</v>
      </c>
      <c r="B705" t="s">
        <v>15</v>
      </c>
      <c r="C705" t="s">
        <v>10</v>
      </c>
      <c r="D705" t="s">
        <v>11</v>
      </c>
      <c r="E705">
        <v>913</v>
      </c>
      <c r="F705">
        <v>22</v>
      </c>
      <c r="G705">
        <v>41</v>
      </c>
      <c r="H705">
        <v>891</v>
      </c>
      <c r="I705">
        <v>2.4096385542168681</v>
      </c>
      <c r="J705">
        <v>97.590361445783131</v>
      </c>
      <c r="K705" t="str">
        <f>_xlfn.XLOOKUP(tblProduction[[#This Row],[Product]],tblProducts[Product],tblProducts[Category],"Not Found")</f>
        <v>Precision</v>
      </c>
      <c r="L705">
        <f>_xlfn.XLOOKUP(tblProduction[[#This Row],[Product]],tblProducts[Product],tblProducts[Target_Units],"Not Found")</f>
        <v>950</v>
      </c>
    </row>
    <row r="706" spans="1:12" x14ac:dyDescent="0.3">
      <c r="A706" s="1">
        <v>46102</v>
      </c>
      <c r="B706" t="s">
        <v>15</v>
      </c>
      <c r="C706" t="s">
        <v>12</v>
      </c>
      <c r="D706" t="s">
        <v>11</v>
      </c>
      <c r="E706">
        <v>737</v>
      </c>
      <c r="F706">
        <v>18</v>
      </c>
      <c r="G706">
        <v>85</v>
      </c>
      <c r="H706">
        <v>719</v>
      </c>
      <c r="I706">
        <v>2.4423337856173681</v>
      </c>
      <c r="J706">
        <v>97.557666214382635</v>
      </c>
      <c r="K706" t="str">
        <f>_xlfn.XLOOKUP(tblProduction[[#This Row],[Product]],tblProducts[Product],tblProducts[Category],"Not Found")</f>
        <v>Precision</v>
      </c>
      <c r="L706">
        <f>_xlfn.XLOOKUP(tblProduction[[#This Row],[Product]],tblProducts[Product],tblProducts[Target_Units],"Not Found")</f>
        <v>950</v>
      </c>
    </row>
    <row r="707" spans="1:12" x14ac:dyDescent="0.3">
      <c r="A707" s="1">
        <v>46102</v>
      </c>
      <c r="B707" t="s">
        <v>15</v>
      </c>
      <c r="C707" t="s">
        <v>13</v>
      </c>
      <c r="D707" t="s">
        <v>14</v>
      </c>
      <c r="E707">
        <v>650</v>
      </c>
      <c r="F707">
        <v>27</v>
      </c>
      <c r="G707">
        <v>87</v>
      </c>
      <c r="H707">
        <v>623</v>
      </c>
      <c r="I707">
        <v>4.1538461538461542</v>
      </c>
      <c r="J707">
        <v>95.846153846153854</v>
      </c>
      <c r="K707" t="str">
        <f>_xlfn.XLOOKUP(tblProduction[[#This Row],[Product]],tblProducts[Product],tblProducts[Category],"Not Found")</f>
        <v>Assembly</v>
      </c>
      <c r="L707">
        <f>_xlfn.XLOOKUP(tblProduction[[#This Row],[Product]],tblProducts[Product],tblProducts[Target_Units],"Not Found")</f>
        <v>850</v>
      </c>
    </row>
    <row r="708" spans="1:12" x14ac:dyDescent="0.3">
      <c r="A708" s="1">
        <v>46102</v>
      </c>
      <c r="B708" t="s">
        <v>17</v>
      </c>
      <c r="C708" t="s">
        <v>10</v>
      </c>
      <c r="D708" t="s">
        <v>16</v>
      </c>
      <c r="E708">
        <v>898</v>
      </c>
      <c r="F708">
        <v>31</v>
      </c>
      <c r="G708">
        <v>13</v>
      </c>
      <c r="H708">
        <v>867</v>
      </c>
      <c r="I708">
        <v>3.4521158129175951</v>
      </c>
      <c r="J708">
        <v>96.547884187082403</v>
      </c>
      <c r="K708" t="str">
        <f>_xlfn.XLOOKUP(tblProduction[[#This Row],[Product]],tblProducts[Product],tblProducts[Category],"Not Found")</f>
        <v>Standard</v>
      </c>
      <c r="L708">
        <f>_xlfn.XLOOKUP(tblProduction[[#This Row],[Product]],tblProducts[Product],tblProducts[Target_Units],"Not Found")</f>
        <v>1000</v>
      </c>
    </row>
    <row r="709" spans="1:12" x14ac:dyDescent="0.3">
      <c r="A709" s="1">
        <v>46102</v>
      </c>
      <c r="B709" t="s">
        <v>17</v>
      </c>
      <c r="C709" t="s">
        <v>12</v>
      </c>
      <c r="D709" t="s">
        <v>18</v>
      </c>
      <c r="E709">
        <v>772</v>
      </c>
      <c r="F709">
        <v>27</v>
      </c>
      <c r="G709">
        <v>20</v>
      </c>
      <c r="H709">
        <v>745</v>
      </c>
      <c r="I709">
        <v>3.49740932642487</v>
      </c>
      <c r="J709">
        <v>96.502590673575128</v>
      </c>
      <c r="K709" t="str">
        <f>_xlfn.XLOOKUP(tblProduction[[#This Row],[Product]],tblProducts[Product],tblProducts[Category],"Not Found")</f>
        <v>Assembly</v>
      </c>
      <c r="L709">
        <f>_xlfn.XLOOKUP(tblProduction[[#This Row],[Product]],tblProducts[Product],tblProducts[Target_Units],"Not Found")</f>
        <v>900</v>
      </c>
    </row>
    <row r="710" spans="1:12" x14ac:dyDescent="0.3">
      <c r="A710" s="1">
        <v>46102</v>
      </c>
      <c r="B710" t="s">
        <v>17</v>
      </c>
      <c r="C710" t="s">
        <v>13</v>
      </c>
      <c r="D710" t="s">
        <v>11</v>
      </c>
      <c r="E710">
        <v>717</v>
      </c>
      <c r="F710">
        <v>32</v>
      </c>
      <c r="G710">
        <v>10</v>
      </c>
      <c r="H710">
        <v>685</v>
      </c>
      <c r="I710">
        <v>4.4630404463040447</v>
      </c>
      <c r="J710">
        <v>95.536959553695951</v>
      </c>
      <c r="K710" t="str">
        <f>_xlfn.XLOOKUP(tblProduction[[#This Row],[Product]],tblProducts[Product],tblProducts[Category],"Not Found")</f>
        <v>Precision</v>
      </c>
      <c r="L710">
        <f>_xlfn.XLOOKUP(tblProduction[[#This Row],[Product]],tblProducts[Product],tblProducts[Target_Units],"Not Found")</f>
        <v>950</v>
      </c>
    </row>
    <row r="711" spans="1:12" x14ac:dyDescent="0.3">
      <c r="A711" s="1">
        <v>46103</v>
      </c>
      <c r="B711" t="s">
        <v>9</v>
      </c>
      <c r="C711" t="s">
        <v>10</v>
      </c>
      <c r="D711" t="s">
        <v>14</v>
      </c>
      <c r="E711">
        <v>892</v>
      </c>
      <c r="F711">
        <v>20</v>
      </c>
      <c r="G711">
        <v>40</v>
      </c>
      <c r="H711">
        <v>872</v>
      </c>
      <c r="I711">
        <v>2.2421524663677128</v>
      </c>
      <c r="J711">
        <v>97.757847533632287</v>
      </c>
      <c r="K711" t="str">
        <f>_xlfn.XLOOKUP(tblProduction[[#This Row],[Product]],tblProducts[Product],tblProducts[Category],"Not Found")</f>
        <v>Assembly</v>
      </c>
      <c r="L711">
        <f>_xlfn.XLOOKUP(tblProduction[[#This Row],[Product]],tblProducts[Product],tblProducts[Target_Units],"Not Found")</f>
        <v>850</v>
      </c>
    </row>
    <row r="712" spans="1:12" x14ac:dyDescent="0.3">
      <c r="A712" s="1">
        <v>46103</v>
      </c>
      <c r="B712" t="s">
        <v>9</v>
      </c>
      <c r="C712" t="s">
        <v>12</v>
      </c>
      <c r="D712" t="s">
        <v>18</v>
      </c>
      <c r="E712">
        <v>815</v>
      </c>
      <c r="F712">
        <v>12</v>
      </c>
      <c r="G712">
        <v>77</v>
      </c>
      <c r="H712">
        <v>803</v>
      </c>
      <c r="I712">
        <v>1.47239263803681</v>
      </c>
      <c r="J712">
        <v>98.527607361963192</v>
      </c>
      <c r="K712" t="str">
        <f>_xlfn.XLOOKUP(tblProduction[[#This Row],[Product]],tblProducts[Product],tblProducts[Category],"Not Found")</f>
        <v>Assembly</v>
      </c>
      <c r="L712">
        <f>_xlfn.XLOOKUP(tblProduction[[#This Row],[Product]],tblProducts[Product],tblProducts[Target_Units],"Not Found")</f>
        <v>900</v>
      </c>
    </row>
    <row r="713" spans="1:12" x14ac:dyDescent="0.3">
      <c r="A713" s="1">
        <v>46103</v>
      </c>
      <c r="B713" t="s">
        <v>9</v>
      </c>
      <c r="C713" t="s">
        <v>13</v>
      </c>
      <c r="D713" t="s">
        <v>16</v>
      </c>
      <c r="E713">
        <v>860</v>
      </c>
      <c r="F713">
        <v>21</v>
      </c>
      <c r="G713">
        <v>81</v>
      </c>
      <c r="H713">
        <v>839</v>
      </c>
      <c r="I713">
        <v>2.441860465116279</v>
      </c>
      <c r="J713">
        <v>97.558139534883722</v>
      </c>
      <c r="K713" t="str">
        <f>_xlfn.XLOOKUP(tblProduction[[#This Row],[Product]],tblProducts[Product],tblProducts[Category],"Not Found")</f>
        <v>Standard</v>
      </c>
      <c r="L713">
        <f>_xlfn.XLOOKUP(tblProduction[[#This Row],[Product]],tblProducts[Product],tblProducts[Target_Units],"Not Found")</f>
        <v>1000</v>
      </c>
    </row>
    <row r="714" spans="1:12" x14ac:dyDescent="0.3">
      <c r="A714" s="1">
        <v>46103</v>
      </c>
      <c r="B714" t="s">
        <v>15</v>
      </c>
      <c r="C714" t="s">
        <v>10</v>
      </c>
      <c r="D714" t="s">
        <v>18</v>
      </c>
      <c r="E714">
        <v>835</v>
      </c>
      <c r="F714">
        <v>20</v>
      </c>
      <c r="G714">
        <v>65</v>
      </c>
      <c r="H714">
        <v>815</v>
      </c>
      <c r="I714">
        <v>2.395209580838324</v>
      </c>
      <c r="J714">
        <v>97.604790419161674</v>
      </c>
      <c r="K714" t="str">
        <f>_xlfn.XLOOKUP(tblProduction[[#This Row],[Product]],tblProducts[Product],tblProducts[Category],"Not Found")</f>
        <v>Assembly</v>
      </c>
      <c r="L714">
        <f>_xlfn.XLOOKUP(tblProduction[[#This Row],[Product]],tblProducts[Product],tblProducts[Target_Units],"Not Found")</f>
        <v>900</v>
      </c>
    </row>
    <row r="715" spans="1:12" x14ac:dyDescent="0.3">
      <c r="A715" s="1">
        <v>46103</v>
      </c>
      <c r="B715" t="s">
        <v>15</v>
      </c>
      <c r="C715" t="s">
        <v>12</v>
      </c>
      <c r="D715" t="s">
        <v>14</v>
      </c>
      <c r="E715">
        <v>687</v>
      </c>
      <c r="F715">
        <v>22</v>
      </c>
      <c r="G715">
        <v>73</v>
      </c>
      <c r="H715">
        <v>665</v>
      </c>
      <c r="I715">
        <v>3.2023289665211059</v>
      </c>
      <c r="J715">
        <v>96.797671033478892</v>
      </c>
      <c r="K715" t="str">
        <f>_xlfn.XLOOKUP(tblProduction[[#This Row],[Product]],tblProducts[Product],tblProducts[Category],"Not Found")</f>
        <v>Assembly</v>
      </c>
      <c r="L715">
        <f>_xlfn.XLOOKUP(tblProduction[[#This Row],[Product]],tblProducts[Product],tblProducts[Target_Units],"Not Found")</f>
        <v>850</v>
      </c>
    </row>
    <row r="716" spans="1:12" x14ac:dyDescent="0.3">
      <c r="A716" s="1">
        <v>46103</v>
      </c>
      <c r="B716" t="s">
        <v>15</v>
      </c>
      <c r="C716" t="s">
        <v>13</v>
      </c>
      <c r="D716" t="s">
        <v>11</v>
      </c>
      <c r="E716">
        <v>768</v>
      </c>
      <c r="F716">
        <v>26</v>
      </c>
      <c r="G716">
        <v>46</v>
      </c>
      <c r="H716">
        <v>742</v>
      </c>
      <c r="I716">
        <v>3.385416666666667</v>
      </c>
      <c r="J716">
        <v>96.614583333333343</v>
      </c>
      <c r="K716" t="str">
        <f>_xlfn.XLOOKUP(tblProduction[[#This Row],[Product]],tblProducts[Product],tblProducts[Category],"Not Found")</f>
        <v>Precision</v>
      </c>
      <c r="L716">
        <f>_xlfn.XLOOKUP(tblProduction[[#This Row],[Product]],tblProducts[Product],tblProducts[Target_Units],"Not Found")</f>
        <v>950</v>
      </c>
    </row>
    <row r="717" spans="1:12" x14ac:dyDescent="0.3">
      <c r="A717" s="1">
        <v>46103</v>
      </c>
      <c r="B717" t="s">
        <v>17</v>
      </c>
      <c r="C717" t="s">
        <v>10</v>
      </c>
      <c r="D717" t="s">
        <v>18</v>
      </c>
      <c r="E717">
        <v>686</v>
      </c>
      <c r="F717">
        <v>24</v>
      </c>
      <c r="G717">
        <v>80</v>
      </c>
      <c r="H717">
        <v>662</v>
      </c>
      <c r="I717">
        <v>3.4985422740524781</v>
      </c>
      <c r="J717">
        <v>96.501457725947532</v>
      </c>
      <c r="K717" t="str">
        <f>_xlfn.XLOOKUP(tblProduction[[#This Row],[Product]],tblProducts[Product],tblProducts[Category],"Not Found")</f>
        <v>Assembly</v>
      </c>
      <c r="L717">
        <f>_xlfn.XLOOKUP(tblProduction[[#This Row],[Product]],tblProducts[Product],tblProducts[Target_Units],"Not Found")</f>
        <v>900</v>
      </c>
    </row>
    <row r="718" spans="1:12" x14ac:dyDescent="0.3">
      <c r="A718" s="1">
        <v>46103</v>
      </c>
      <c r="B718" t="s">
        <v>17</v>
      </c>
      <c r="C718" t="s">
        <v>12</v>
      </c>
      <c r="D718" t="s">
        <v>18</v>
      </c>
      <c r="E718">
        <v>649</v>
      </c>
      <c r="F718">
        <v>22</v>
      </c>
      <c r="G718">
        <v>81</v>
      </c>
      <c r="H718">
        <v>627</v>
      </c>
      <c r="I718">
        <v>3.3898305084745761</v>
      </c>
      <c r="J718">
        <v>96.610169491525426</v>
      </c>
      <c r="K718" t="str">
        <f>_xlfn.XLOOKUP(tblProduction[[#This Row],[Product]],tblProducts[Product],tblProducts[Category],"Not Found")</f>
        <v>Assembly</v>
      </c>
      <c r="L718">
        <f>_xlfn.XLOOKUP(tblProduction[[#This Row],[Product]],tblProducts[Product],tblProducts[Target_Units],"Not Found")</f>
        <v>900</v>
      </c>
    </row>
    <row r="719" spans="1:12" x14ac:dyDescent="0.3">
      <c r="A719" s="1">
        <v>46103</v>
      </c>
      <c r="B719" t="s">
        <v>17</v>
      </c>
      <c r="C719" t="s">
        <v>13</v>
      </c>
      <c r="D719" t="s">
        <v>11</v>
      </c>
      <c r="E719">
        <v>688</v>
      </c>
      <c r="F719">
        <v>30</v>
      </c>
      <c r="G719">
        <v>41</v>
      </c>
      <c r="H719">
        <v>658</v>
      </c>
      <c r="I719">
        <v>4.3604651162790704</v>
      </c>
      <c r="J719">
        <v>95.639534883720927</v>
      </c>
      <c r="K719" t="str">
        <f>_xlfn.XLOOKUP(tblProduction[[#This Row],[Product]],tblProducts[Product],tblProducts[Category],"Not Found")</f>
        <v>Precision</v>
      </c>
      <c r="L719">
        <f>_xlfn.XLOOKUP(tblProduction[[#This Row],[Product]],tblProducts[Product],tblProducts[Target_Units],"Not Found")</f>
        <v>950</v>
      </c>
    </row>
    <row r="720" spans="1:12" x14ac:dyDescent="0.3">
      <c r="A720" s="1">
        <v>46104</v>
      </c>
      <c r="B720" t="s">
        <v>9</v>
      </c>
      <c r="C720" t="s">
        <v>10</v>
      </c>
      <c r="D720" t="s">
        <v>16</v>
      </c>
      <c r="E720">
        <v>1050</v>
      </c>
      <c r="F720">
        <v>15</v>
      </c>
      <c r="G720">
        <v>10</v>
      </c>
      <c r="H720">
        <v>1035</v>
      </c>
      <c r="I720">
        <v>1.428571428571429</v>
      </c>
      <c r="J720">
        <v>98.571428571428584</v>
      </c>
      <c r="K720" t="str">
        <f>_xlfn.XLOOKUP(tblProduction[[#This Row],[Product]],tblProducts[Product],tblProducts[Category],"Not Found")</f>
        <v>Standard</v>
      </c>
      <c r="L720">
        <f>_xlfn.XLOOKUP(tblProduction[[#This Row],[Product]],tblProducts[Product],tblProducts[Target_Units],"Not Found")</f>
        <v>1000</v>
      </c>
    </row>
    <row r="721" spans="1:12" x14ac:dyDescent="0.3">
      <c r="A721" s="1">
        <v>46104</v>
      </c>
      <c r="B721" t="s">
        <v>9</v>
      </c>
      <c r="C721" t="s">
        <v>12</v>
      </c>
      <c r="D721" t="s">
        <v>14</v>
      </c>
      <c r="E721">
        <v>828</v>
      </c>
      <c r="F721">
        <v>19</v>
      </c>
      <c r="G721">
        <v>43</v>
      </c>
      <c r="H721">
        <v>809</v>
      </c>
      <c r="I721">
        <v>2.2946859903381638</v>
      </c>
      <c r="J721">
        <v>97.705314009661834</v>
      </c>
      <c r="K721" t="str">
        <f>_xlfn.XLOOKUP(tblProduction[[#This Row],[Product]],tblProducts[Product],tblProducts[Category],"Not Found")</f>
        <v>Assembly</v>
      </c>
      <c r="L721">
        <f>_xlfn.XLOOKUP(tblProduction[[#This Row],[Product]],tblProducts[Product],tblProducts[Target_Units],"Not Found")</f>
        <v>850</v>
      </c>
    </row>
    <row r="722" spans="1:12" x14ac:dyDescent="0.3">
      <c r="A722" s="1">
        <v>46104</v>
      </c>
      <c r="B722" t="s">
        <v>9</v>
      </c>
      <c r="C722" t="s">
        <v>13</v>
      </c>
      <c r="D722" t="s">
        <v>14</v>
      </c>
      <c r="E722">
        <v>836</v>
      </c>
      <c r="F722">
        <v>27</v>
      </c>
      <c r="G722">
        <v>15</v>
      </c>
      <c r="H722">
        <v>809</v>
      </c>
      <c r="I722">
        <v>3.2296650717703348</v>
      </c>
      <c r="J722">
        <v>96.770334928229659</v>
      </c>
      <c r="K722" t="str">
        <f>_xlfn.XLOOKUP(tblProduction[[#This Row],[Product]],tblProducts[Product],tblProducts[Category],"Not Found")</f>
        <v>Assembly</v>
      </c>
      <c r="L722">
        <f>_xlfn.XLOOKUP(tblProduction[[#This Row],[Product]],tblProducts[Product],tblProducts[Target_Units],"Not Found")</f>
        <v>850</v>
      </c>
    </row>
    <row r="723" spans="1:12" x14ac:dyDescent="0.3">
      <c r="A723" s="1">
        <v>46104</v>
      </c>
      <c r="B723" t="s">
        <v>15</v>
      </c>
      <c r="C723" t="s">
        <v>10</v>
      </c>
      <c r="D723" t="s">
        <v>16</v>
      </c>
      <c r="E723">
        <v>832</v>
      </c>
      <c r="F723">
        <v>20</v>
      </c>
      <c r="G723">
        <v>82</v>
      </c>
      <c r="H723">
        <v>812</v>
      </c>
      <c r="I723">
        <v>2.4038461538461542</v>
      </c>
      <c r="J723">
        <v>97.59615384615384</v>
      </c>
      <c r="K723" t="str">
        <f>_xlfn.XLOOKUP(tblProduction[[#This Row],[Product]],tblProducts[Product],tblProducts[Category],"Not Found")</f>
        <v>Standard</v>
      </c>
      <c r="L723">
        <f>_xlfn.XLOOKUP(tblProduction[[#This Row],[Product]],tblProducts[Product],tblProducts[Target_Units],"Not Found")</f>
        <v>1000</v>
      </c>
    </row>
    <row r="724" spans="1:12" x14ac:dyDescent="0.3">
      <c r="A724" s="1">
        <v>46104</v>
      </c>
      <c r="B724" t="s">
        <v>15</v>
      </c>
      <c r="C724" t="s">
        <v>12</v>
      </c>
      <c r="D724" t="s">
        <v>14</v>
      </c>
      <c r="E724">
        <v>803</v>
      </c>
      <c r="F724">
        <v>26</v>
      </c>
      <c r="G724">
        <v>18</v>
      </c>
      <c r="H724">
        <v>777</v>
      </c>
      <c r="I724">
        <v>3.2378580323785799</v>
      </c>
      <c r="J724">
        <v>96.762141967621417</v>
      </c>
      <c r="K724" t="str">
        <f>_xlfn.XLOOKUP(tblProduction[[#This Row],[Product]],tblProducts[Product],tblProducts[Category],"Not Found")</f>
        <v>Assembly</v>
      </c>
      <c r="L724">
        <f>_xlfn.XLOOKUP(tblProduction[[#This Row],[Product]],tblProducts[Product],tblProducts[Target_Units],"Not Found")</f>
        <v>850</v>
      </c>
    </row>
    <row r="725" spans="1:12" x14ac:dyDescent="0.3">
      <c r="A725" s="1">
        <v>46104</v>
      </c>
      <c r="B725" t="s">
        <v>15</v>
      </c>
      <c r="C725" t="s">
        <v>13</v>
      </c>
      <c r="D725" t="s">
        <v>18</v>
      </c>
      <c r="E725">
        <v>763</v>
      </c>
      <c r="F725">
        <v>26</v>
      </c>
      <c r="G725">
        <v>11</v>
      </c>
      <c r="H725">
        <v>737</v>
      </c>
      <c r="I725">
        <v>3.4076015727391882</v>
      </c>
      <c r="J725">
        <v>96.592398427260818</v>
      </c>
      <c r="K725" t="str">
        <f>_xlfn.XLOOKUP(tblProduction[[#This Row],[Product]],tblProducts[Product],tblProducts[Category],"Not Found")</f>
        <v>Assembly</v>
      </c>
      <c r="L725">
        <f>_xlfn.XLOOKUP(tblProduction[[#This Row],[Product]],tblProducts[Product],tblProducts[Target_Units],"Not Found")</f>
        <v>900</v>
      </c>
    </row>
    <row r="726" spans="1:12" x14ac:dyDescent="0.3">
      <c r="A726" s="1">
        <v>46104</v>
      </c>
      <c r="B726" t="s">
        <v>17</v>
      </c>
      <c r="C726" t="s">
        <v>10</v>
      </c>
      <c r="D726" t="s">
        <v>14</v>
      </c>
      <c r="E726">
        <v>736</v>
      </c>
      <c r="F726">
        <v>31</v>
      </c>
      <c r="G726">
        <v>41</v>
      </c>
      <c r="H726">
        <v>705</v>
      </c>
      <c r="I726">
        <v>4.2119565217391308</v>
      </c>
      <c r="J726">
        <v>95.78804347826086</v>
      </c>
      <c r="K726" t="str">
        <f>_xlfn.XLOOKUP(tblProduction[[#This Row],[Product]],tblProducts[Product],tblProducts[Category],"Not Found")</f>
        <v>Assembly</v>
      </c>
      <c r="L726">
        <f>_xlfn.XLOOKUP(tblProduction[[#This Row],[Product]],tblProducts[Product],tblProducts[Target_Units],"Not Found")</f>
        <v>850</v>
      </c>
    </row>
    <row r="727" spans="1:12" x14ac:dyDescent="0.3">
      <c r="A727" s="1">
        <v>46104</v>
      </c>
      <c r="B727" t="s">
        <v>17</v>
      </c>
      <c r="C727" t="s">
        <v>12</v>
      </c>
      <c r="D727" t="s">
        <v>14</v>
      </c>
      <c r="E727">
        <v>703</v>
      </c>
      <c r="F727">
        <v>30</v>
      </c>
      <c r="G727">
        <v>11</v>
      </c>
      <c r="H727">
        <v>673</v>
      </c>
      <c r="I727">
        <v>4.2674253200568986</v>
      </c>
      <c r="J727">
        <v>95.732574679943099</v>
      </c>
      <c r="K727" t="str">
        <f>_xlfn.XLOOKUP(tblProduction[[#This Row],[Product]],tblProducts[Product],tblProducts[Category],"Not Found")</f>
        <v>Assembly</v>
      </c>
      <c r="L727">
        <f>_xlfn.XLOOKUP(tblProduction[[#This Row],[Product]],tblProducts[Product],tblProducts[Target_Units],"Not Found")</f>
        <v>850</v>
      </c>
    </row>
    <row r="728" spans="1:12" x14ac:dyDescent="0.3">
      <c r="A728" s="1">
        <v>46104</v>
      </c>
      <c r="B728" t="s">
        <v>17</v>
      </c>
      <c r="C728" t="s">
        <v>13</v>
      </c>
      <c r="D728" t="s">
        <v>11</v>
      </c>
      <c r="E728">
        <v>677</v>
      </c>
      <c r="F728">
        <v>30</v>
      </c>
      <c r="G728">
        <v>64</v>
      </c>
      <c r="H728">
        <v>647</v>
      </c>
      <c r="I728">
        <v>4.431314623338257</v>
      </c>
      <c r="J728">
        <v>95.568685376661747</v>
      </c>
      <c r="K728" t="str">
        <f>_xlfn.XLOOKUP(tblProduction[[#This Row],[Product]],tblProducts[Product],tblProducts[Category],"Not Found")</f>
        <v>Precision</v>
      </c>
      <c r="L728">
        <f>_xlfn.XLOOKUP(tblProduction[[#This Row],[Product]],tblProducts[Product],tblProducts[Target_Units],"Not Found")</f>
        <v>950</v>
      </c>
    </row>
    <row r="729" spans="1:12" x14ac:dyDescent="0.3">
      <c r="A729" s="1">
        <v>46105</v>
      </c>
      <c r="B729" t="s">
        <v>9</v>
      </c>
      <c r="C729" t="s">
        <v>10</v>
      </c>
      <c r="D729" t="s">
        <v>16</v>
      </c>
      <c r="E729">
        <v>1036</v>
      </c>
      <c r="F729">
        <v>15</v>
      </c>
      <c r="G729">
        <v>24</v>
      </c>
      <c r="H729">
        <v>1021</v>
      </c>
      <c r="I729">
        <v>1.4478764478764481</v>
      </c>
      <c r="J729">
        <v>98.552123552123547</v>
      </c>
      <c r="K729" t="str">
        <f>_xlfn.XLOOKUP(tblProduction[[#This Row],[Product]],tblProducts[Product],tblProducts[Category],"Not Found")</f>
        <v>Standard</v>
      </c>
      <c r="L729">
        <f>_xlfn.XLOOKUP(tblProduction[[#This Row],[Product]],tblProducts[Product],tblProducts[Target_Units],"Not Found")</f>
        <v>1000</v>
      </c>
    </row>
    <row r="730" spans="1:12" x14ac:dyDescent="0.3">
      <c r="A730" s="1">
        <v>46105</v>
      </c>
      <c r="B730" t="s">
        <v>9</v>
      </c>
      <c r="C730" t="s">
        <v>12</v>
      </c>
      <c r="D730" t="s">
        <v>16</v>
      </c>
      <c r="E730">
        <v>972</v>
      </c>
      <c r="F730">
        <v>14</v>
      </c>
      <c r="G730">
        <v>63</v>
      </c>
      <c r="H730">
        <v>958</v>
      </c>
      <c r="I730">
        <v>1.440329218106996</v>
      </c>
      <c r="J730">
        <v>98.559670781893004</v>
      </c>
      <c r="K730" t="str">
        <f>_xlfn.XLOOKUP(tblProduction[[#This Row],[Product]],tblProducts[Product],tblProducts[Category],"Not Found")</f>
        <v>Standard</v>
      </c>
      <c r="L730">
        <f>_xlfn.XLOOKUP(tblProduction[[#This Row],[Product]],tblProducts[Product],tblProducts[Target_Units],"Not Found")</f>
        <v>1000</v>
      </c>
    </row>
    <row r="731" spans="1:12" x14ac:dyDescent="0.3">
      <c r="A731" s="1">
        <v>46105</v>
      </c>
      <c r="B731" t="s">
        <v>9</v>
      </c>
      <c r="C731" t="s">
        <v>13</v>
      </c>
      <c r="D731" t="s">
        <v>18</v>
      </c>
      <c r="E731">
        <v>751</v>
      </c>
      <c r="F731">
        <v>18</v>
      </c>
      <c r="G731">
        <v>71</v>
      </c>
      <c r="H731">
        <v>733</v>
      </c>
      <c r="I731">
        <v>2.3968042609853528</v>
      </c>
      <c r="J731">
        <v>97.603195739014652</v>
      </c>
      <c r="K731" t="str">
        <f>_xlfn.XLOOKUP(tblProduction[[#This Row],[Product]],tblProducts[Product],tblProducts[Category],"Not Found")</f>
        <v>Assembly</v>
      </c>
      <c r="L731">
        <f>_xlfn.XLOOKUP(tblProduction[[#This Row],[Product]],tblProducts[Product],tblProducts[Target_Units],"Not Found")</f>
        <v>900</v>
      </c>
    </row>
    <row r="732" spans="1:12" x14ac:dyDescent="0.3">
      <c r="A732" s="1">
        <v>46105</v>
      </c>
      <c r="B732" t="s">
        <v>15</v>
      </c>
      <c r="C732" t="s">
        <v>10</v>
      </c>
      <c r="D732" t="s">
        <v>18</v>
      </c>
      <c r="E732">
        <v>776</v>
      </c>
      <c r="F732">
        <v>19</v>
      </c>
      <c r="G732">
        <v>76</v>
      </c>
      <c r="H732">
        <v>757</v>
      </c>
      <c r="I732">
        <v>2.4484536082474229</v>
      </c>
      <c r="J732">
        <v>97.551546391752581</v>
      </c>
      <c r="K732" t="str">
        <f>_xlfn.XLOOKUP(tblProduction[[#This Row],[Product]],tblProducts[Product],tblProducts[Category],"Not Found")</f>
        <v>Assembly</v>
      </c>
      <c r="L732">
        <f>_xlfn.XLOOKUP(tblProduction[[#This Row],[Product]],tblProducts[Product],tblProducts[Target_Units],"Not Found")</f>
        <v>900</v>
      </c>
    </row>
    <row r="733" spans="1:12" x14ac:dyDescent="0.3">
      <c r="A733" s="1">
        <v>46105</v>
      </c>
      <c r="B733" t="s">
        <v>15</v>
      </c>
      <c r="C733" t="s">
        <v>12</v>
      </c>
      <c r="D733" t="s">
        <v>11</v>
      </c>
      <c r="E733">
        <v>836</v>
      </c>
      <c r="F733">
        <v>20</v>
      </c>
      <c r="G733">
        <v>26</v>
      </c>
      <c r="H733">
        <v>816</v>
      </c>
      <c r="I733">
        <v>2.392344497607656</v>
      </c>
      <c r="J733">
        <v>97.607655502392348</v>
      </c>
      <c r="K733" t="str">
        <f>_xlfn.XLOOKUP(tblProduction[[#This Row],[Product]],tblProducts[Product],tblProducts[Category],"Not Found")</f>
        <v>Precision</v>
      </c>
      <c r="L733">
        <f>_xlfn.XLOOKUP(tblProduction[[#This Row],[Product]],tblProducts[Product],tblProducts[Target_Units],"Not Found")</f>
        <v>950</v>
      </c>
    </row>
    <row r="734" spans="1:12" x14ac:dyDescent="0.3">
      <c r="A734" s="1">
        <v>46105</v>
      </c>
      <c r="B734" t="s">
        <v>15</v>
      </c>
      <c r="C734" t="s">
        <v>13</v>
      </c>
      <c r="D734" t="s">
        <v>18</v>
      </c>
      <c r="E734">
        <v>701</v>
      </c>
      <c r="F734">
        <v>24</v>
      </c>
      <c r="G734">
        <v>45</v>
      </c>
      <c r="H734">
        <v>677</v>
      </c>
      <c r="I734">
        <v>3.4236804564907271</v>
      </c>
      <c r="J734">
        <v>96.576319543509271</v>
      </c>
      <c r="K734" t="str">
        <f>_xlfn.XLOOKUP(tblProduction[[#This Row],[Product]],tblProducts[Product],tblProducts[Category],"Not Found")</f>
        <v>Assembly</v>
      </c>
      <c r="L734">
        <f>_xlfn.XLOOKUP(tblProduction[[#This Row],[Product]],tblProducts[Product],tblProducts[Target_Units],"Not Found")</f>
        <v>900</v>
      </c>
    </row>
    <row r="735" spans="1:12" x14ac:dyDescent="0.3">
      <c r="A735" s="1">
        <v>46105</v>
      </c>
      <c r="B735" t="s">
        <v>17</v>
      </c>
      <c r="C735" t="s">
        <v>10</v>
      </c>
      <c r="D735" t="s">
        <v>14</v>
      </c>
      <c r="E735">
        <v>678</v>
      </c>
      <c r="F735">
        <v>29</v>
      </c>
      <c r="G735">
        <v>47</v>
      </c>
      <c r="H735">
        <v>649</v>
      </c>
      <c r="I735">
        <v>4.277286135693215</v>
      </c>
      <c r="J735">
        <v>95.722713864306783</v>
      </c>
      <c r="K735" t="str">
        <f>_xlfn.XLOOKUP(tblProduction[[#This Row],[Product]],tblProducts[Product],tblProducts[Category],"Not Found")</f>
        <v>Assembly</v>
      </c>
      <c r="L735">
        <f>_xlfn.XLOOKUP(tblProduction[[#This Row],[Product]],tblProducts[Product],tblProducts[Target_Units],"Not Found")</f>
        <v>850</v>
      </c>
    </row>
    <row r="736" spans="1:12" x14ac:dyDescent="0.3">
      <c r="A736" s="1">
        <v>46105</v>
      </c>
      <c r="B736" t="s">
        <v>17</v>
      </c>
      <c r="C736" t="s">
        <v>12</v>
      </c>
      <c r="D736" t="s">
        <v>18</v>
      </c>
      <c r="E736">
        <v>775</v>
      </c>
      <c r="F736">
        <v>27</v>
      </c>
      <c r="G736">
        <v>4</v>
      </c>
      <c r="H736">
        <v>748</v>
      </c>
      <c r="I736">
        <v>3.4838709677419351</v>
      </c>
      <c r="J736">
        <v>96.516129032258064</v>
      </c>
      <c r="K736" t="str">
        <f>_xlfn.XLOOKUP(tblProduction[[#This Row],[Product]],tblProducts[Product],tblProducts[Category],"Not Found")</f>
        <v>Assembly</v>
      </c>
      <c r="L736">
        <f>_xlfn.XLOOKUP(tblProduction[[#This Row],[Product]],tblProducts[Product],tblProducts[Target_Units],"Not Found")</f>
        <v>900</v>
      </c>
    </row>
    <row r="737" spans="1:12" x14ac:dyDescent="0.3">
      <c r="A737" s="1">
        <v>46105</v>
      </c>
      <c r="B737" t="s">
        <v>17</v>
      </c>
      <c r="C737" t="s">
        <v>13</v>
      </c>
      <c r="D737" t="s">
        <v>14</v>
      </c>
      <c r="E737">
        <v>595</v>
      </c>
      <c r="F737">
        <v>31</v>
      </c>
      <c r="G737">
        <v>78</v>
      </c>
      <c r="H737">
        <v>564</v>
      </c>
      <c r="I737">
        <v>5.2100840336134464</v>
      </c>
      <c r="J737">
        <v>94.789915966386545</v>
      </c>
      <c r="K737" t="str">
        <f>_xlfn.XLOOKUP(tblProduction[[#This Row],[Product]],tblProducts[Product],tblProducts[Category],"Not Found")</f>
        <v>Assembly</v>
      </c>
      <c r="L737">
        <f>_xlfn.XLOOKUP(tblProduction[[#This Row],[Product]],tblProducts[Product],tblProducts[Target_Units],"Not Found")</f>
        <v>850</v>
      </c>
    </row>
    <row r="738" spans="1:12" x14ac:dyDescent="0.3">
      <c r="A738" s="1">
        <v>46106</v>
      </c>
      <c r="B738" t="s">
        <v>9</v>
      </c>
      <c r="C738" t="s">
        <v>10</v>
      </c>
      <c r="D738" t="s">
        <v>16</v>
      </c>
      <c r="E738">
        <v>1023</v>
      </c>
      <c r="F738">
        <v>15</v>
      </c>
      <c r="G738">
        <v>51</v>
      </c>
      <c r="H738">
        <v>1008</v>
      </c>
      <c r="I738">
        <v>1.466275659824047</v>
      </c>
      <c r="J738">
        <v>98.533724340175951</v>
      </c>
      <c r="K738" t="str">
        <f>_xlfn.XLOOKUP(tblProduction[[#This Row],[Product]],tblProducts[Product],tblProducts[Category],"Not Found")</f>
        <v>Standard</v>
      </c>
      <c r="L738">
        <f>_xlfn.XLOOKUP(tblProduction[[#This Row],[Product]],tblProducts[Product],tblProducts[Target_Units],"Not Found")</f>
        <v>1000</v>
      </c>
    </row>
    <row r="739" spans="1:12" x14ac:dyDescent="0.3">
      <c r="A739" s="1">
        <v>46106</v>
      </c>
      <c r="B739" t="s">
        <v>9</v>
      </c>
      <c r="C739" t="s">
        <v>12</v>
      </c>
      <c r="D739" t="s">
        <v>16</v>
      </c>
      <c r="E739">
        <v>1014</v>
      </c>
      <c r="F739">
        <v>15</v>
      </c>
      <c r="G739">
        <v>38</v>
      </c>
      <c r="H739">
        <v>999</v>
      </c>
      <c r="I739">
        <v>1.4792899408284019</v>
      </c>
      <c r="J739">
        <v>98.520710059171606</v>
      </c>
      <c r="K739" t="str">
        <f>_xlfn.XLOOKUP(tblProduction[[#This Row],[Product]],tblProducts[Product],tblProducts[Category],"Not Found")</f>
        <v>Standard</v>
      </c>
      <c r="L739">
        <f>_xlfn.XLOOKUP(tblProduction[[#This Row],[Product]],tblProducts[Product],tblProducts[Target_Units],"Not Found")</f>
        <v>1000</v>
      </c>
    </row>
    <row r="740" spans="1:12" x14ac:dyDescent="0.3">
      <c r="A740" s="1">
        <v>46106</v>
      </c>
      <c r="B740" t="s">
        <v>9</v>
      </c>
      <c r="C740" t="s">
        <v>13</v>
      </c>
      <c r="D740" t="s">
        <v>11</v>
      </c>
      <c r="E740">
        <v>897</v>
      </c>
      <c r="F740">
        <v>22</v>
      </c>
      <c r="G740">
        <v>4</v>
      </c>
      <c r="H740">
        <v>875</v>
      </c>
      <c r="I740">
        <v>2.4526198439241922</v>
      </c>
      <c r="J740">
        <v>97.547380156075818</v>
      </c>
      <c r="K740" t="str">
        <f>_xlfn.XLOOKUP(tblProduction[[#This Row],[Product]],tblProducts[Product],tblProducts[Category],"Not Found")</f>
        <v>Precision</v>
      </c>
      <c r="L740">
        <f>_xlfn.XLOOKUP(tblProduction[[#This Row],[Product]],tblProducts[Product],tblProducts[Target_Units],"Not Found")</f>
        <v>950</v>
      </c>
    </row>
    <row r="741" spans="1:12" x14ac:dyDescent="0.3">
      <c r="A741" s="1">
        <v>46106</v>
      </c>
      <c r="B741" t="s">
        <v>15</v>
      </c>
      <c r="C741" t="s">
        <v>10</v>
      </c>
      <c r="D741" t="s">
        <v>18</v>
      </c>
      <c r="E741">
        <v>809</v>
      </c>
      <c r="F741">
        <v>20</v>
      </c>
      <c r="G741">
        <v>77</v>
      </c>
      <c r="H741">
        <v>789</v>
      </c>
      <c r="I741">
        <v>2.4721878862793569</v>
      </c>
      <c r="J741">
        <v>97.527812113720643</v>
      </c>
      <c r="K741" t="str">
        <f>_xlfn.XLOOKUP(tblProduction[[#This Row],[Product]],tblProducts[Product],tblProducts[Category],"Not Found")</f>
        <v>Assembly</v>
      </c>
      <c r="L741">
        <f>_xlfn.XLOOKUP(tblProduction[[#This Row],[Product]],tblProducts[Product],tblProducts[Target_Units],"Not Found")</f>
        <v>900</v>
      </c>
    </row>
    <row r="742" spans="1:12" x14ac:dyDescent="0.3">
      <c r="A742" s="1">
        <v>46106</v>
      </c>
      <c r="B742" t="s">
        <v>15</v>
      </c>
      <c r="C742" t="s">
        <v>12</v>
      </c>
      <c r="D742" t="s">
        <v>11</v>
      </c>
      <c r="E742">
        <v>903</v>
      </c>
      <c r="F742">
        <v>22</v>
      </c>
      <c r="G742">
        <v>28</v>
      </c>
      <c r="H742">
        <v>881</v>
      </c>
      <c r="I742">
        <v>2.436323366555925</v>
      </c>
      <c r="J742">
        <v>97.563676633444075</v>
      </c>
      <c r="K742" t="str">
        <f>_xlfn.XLOOKUP(tblProduction[[#This Row],[Product]],tblProducts[Product],tblProducts[Category],"Not Found")</f>
        <v>Precision</v>
      </c>
      <c r="L742">
        <f>_xlfn.XLOOKUP(tblProduction[[#This Row],[Product]],tblProducts[Product],tblProducts[Target_Units],"Not Found")</f>
        <v>950</v>
      </c>
    </row>
    <row r="743" spans="1:12" x14ac:dyDescent="0.3">
      <c r="A743" s="1">
        <v>46106</v>
      </c>
      <c r="B743" t="s">
        <v>15</v>
      </c>
      <c r="C743" t="s">
        <v>13</v>
      </c>
      <c r="D743" t="s">
        <v>11</v>
      </c>
      <c r="E743">
        <v>870</v>
      </c>
      <c r="F743">
        <v>30</v>
      </c>
      <c r="G743">
        <v>2</v>
      </c>
      <c r="H743">
        <v>840</v>
      </c>
      <c r="I743">
        <v>3.4482758620689649</v>
      </c>
      <c r="J743">
        <v>96.551724137931032</v>
      </c>
      <c r="K743" t="str">
        <f>_xlfn.XLOOKUP(tblProduction[[#This Row],[Product]],tblProducts[Product],tblProducts[Category],"Not Found")</f>
        <v>Precision</v>
      </c>
      <c r="L743">
        <f>_xlfn.XLOOKUP(tblProduction[[#This Row],[Product]],tblProducts[Product],tblProducts[Target_Units],"Not Found")</f>
        <v>950</v>
      </c>
    </row>
    <row r="744" spans="1:12" x14ac:dyDescent="0.3">
      <c r="A744" s="1">
        <v>46106</v>
      </c>
      <c r="B744" t="s">
        <v>17</v>
      </c>
      <c r="C744" t="s">
        <v>10</v>
      </c>
      <c r="D744" t="s">
        <v>16</v>
      </c>
      <c r="E744">
        <v>920</v>
      </c>
      <c r="F744">
        <v>32</v>
      </c>
      <c r="G744">
        <v>14</v>
      </c>
      <c r="H744">
        <v>888</v>
      </c>
      <c r="I744">
        <v>3.4782608695652169</v>
      </c>
      <c r="J744">
        <v>96.521739130434781</v>
      </c>
      <c r="K744" t="str">
        <f>_xlfn.XLOOKUP(tblProduction[[#This Row],[Product]],tblProducts[Product],tblProducts[Category],"Not Found")</f>
        <v>Standard</v>
      </c>
      <c r="L744">
        <f>_xlfn.XLOOKUP(tblProduction[[#This Row],[Product]],tblProducts[Product],tblProducts[Target_Units],"Not Found")</f>
        <v>1000</v>
      </c>
    </row>
    <row r="745" spans="1:12" x14ac:dyDescent="0.3">
      <c r="A745" s="1">
        <v>46106</v>
      </c>
      <c r="B745" t="s">
        <v>17</v>
      </c>
      <c r="C745" t="s">
        <v>12</v>
      </c>
      <c r="D745" t="s">
        <v>16</v>
      </c>
      <c r="E745">
        <v>789</v>
      </c>
      <c r="F745">
        <v>27</v>
      </c>
      <c r="G745">
        <v>65</v>
      </c>
      <c r="H745">
        <v>762</v>
      </c>
      <c r="I745">
        <v>3.422053231939163</v>
      </c>
      <c r="J745">
        <v>96.577946768060841</v>
      </c>
      <c r="K745" t="str">
        <f>_xlfn.XLOOKUP(tblProduction[[#This Row],[Product]],tblProducts[Product],tblProducts[Category],"Not Found")</f>
        <v>Standard</v>
      </c>
      <c r="L745">
        <f>_xlfn.XLOOKUP(tblProduction[[#This Row],[Product]],tblProducts[Product],tblProducts[Target_Units],"Not Found")</f>
        <v>1000</v>
      </c>
    </row>
    <row r="746" spans="1:12" x14ac:dyDescent="0.3">
      <c r="A746" s="1">
        <v>46106</v>
      </c>
      <c r="B746" t="s">
        <v>17</v>
      </c>
      <c r="C746" t="s">
        <v>13</v>
      </c>
      <c r="D746" t="s">
        <v>11</v>
      </c>
      <c r="E746">
        <v>699</v>
      </c>
      <c r="F746">
        <v>31</v>
      </c>
      <c r="G746">
        <v>51</v>
      </c>
      <c r="H746">
        <v>668</v>
      </c>
      <c r="I746">
        <v>4.4349070100143066</v>
      </c>
      <c r="J746">
        <v>95.565092989985686</v>
      </c>
      <c r="K746" t="str">
        <f>_xlfn.XLOOKUP(tblProduction[[#This Row],[Product]],tblProducts[Product],tblProducts[Category],"Not Found")</f>
        <v>Precision</v>
      </c>
      <c r="L746">
        <f>_xlfn.XLOOKUP(tblProduction[[#This Row],[Product]],tblProducts[Product],tblProducts[Target_Units],"Not Found")</f>
        <v>950</v>
      </c>
    </row>
    <row r="747" spans="1:12" x14ac:dyDescent="0.3">
      <c r="A747" s="1">
        <v>46107</v>
      </c>
      <c r="B747" t="s">
        <v>9</v>
      </c>
      <c r="C747" t="s">
        <v>10</v>
      </c>
      <c r="D747" t="s">
        <v>16</v>
      </c>
      <c r="E747">
        <v>1107</v>
      </c>
      <c r="F747">
        <v>16</v>
      </c>
      <c r="G747">
        <v>19</v>
      </c>
      <c r="H747">
        <v>1091</v>
      </c>
      <c r="I747">
        <v>1.445347786811201</v>
      </c>
      <c r="J747">
        <v>98.554652213188803</v>
      </c>
      <c r="K747" t="str">
        <f>_xlfn.XLOOKUP(tblProduction[[#This Row],[Product]],tblProducts[Product],tblProducts[Category],"Not Found")</f>
        <v>Standard</v>
      </c>
      <c r="L747">
        <f>_xlfn.XLOOKUP(tblProduction[[#This Row],[Product]],tblProducts[Product],tblProducts[Target_Units],"Not Found")</f>
        <v>1000</v>
      </c>
    </row>
    <row r="748" spans="1:12" x14ac:dyDescent="0.3">
      <c r="A748" s="1">
        <v>46107</v>
      </c>
      <c r="B748" t="s">
        <v>9</v>
      </c>
      <c r="C748" t="s">
        <v>12</v>
      </c>
      <c r="D748" t="s">
        <v>14</v>
      </c>
      <c r="E748">
        <v>807</v>
      </c>
      <c r="F748">
        <v>18</v>
      </c>
      <c r="G748">
        <v>75</v>
      </c>
      <c r="H748">
        <v>789</v>
      </c>
      <c r="I748">
        <v>2.2304832713754652</v>
      </c>
      <c r="J748">
        <v>97.769516728624538</v>
      </c>
      <c r="K748" t="str">
        <f>_xlfn.XLOOKUP(tblProduction[[#This Row],[Product]],tblProducts[Product],tblProducts[Category],"Not Found")</f>
        <v>Assembly</v>
      </c>
      <c r="L748">
        <f>_xlfn.XLOOKUP(tblProduction[[#This Row],[Product]],tblProducts[Product],tblProducts[Target_Units],"Not Found")</f>
        <v>850</v>
      </c>
    </row>
    <row r="749" spans="1:12" x14ac:dyDescent="0.3">
      <c r="A749" s="1">
        <v>46107</v>
      </c>
      <c r="B749" t="s">
        <v>9</v>
      </c>
      <c r="C749" t="s">
        <v>13</v>
      </c>
      <c r="D749" t="s">
        <v>16</v>
      </c>
      <c r="E749">
        <v>940</v>
      </c>
      <c r="F749">
        <v>23</v>
      </c>
      <c r="G749">
        <v>5</v>
      </c>
      <c r="H749">
        <v>917</v>
      </c>
      <c r="I749">
        <v>2.4468085106382982</v>
      </c>
      <c r="J749">
        <v>97.553191489361694</v>
      </c>
      <c r="K749" t="str">
        <f>_xlfn.XLOOKUP(tblProduction[[#This Row],[Product]],tblProducts[Product],tblProducts[Category],"Not Found")</f>
        <v>Standard</v>
      </c>
      <c r="L749">
        <f>_xlfn.XLOOKUP(tblProduction[[#This Row],[Product]],tblProducts[Product],tblProducts[Target_Units],"Not Found")</f>
        <v>1000</v>
      </c>
    </row>
    <row r="750" spans="1:12" x14ac:dyDescent="0.3">
      <c r="A750" s="1">
        <v>46107</v>
      </c>
      <c r="B750" t="s">
        <v>15</v>
      </c>
      <c r="C750" t="s">
        <v>10</v>
      </c>
      <c r="D750" t="s">
        <v>16</v>
      </c>
      <c r="E750">
        <v>1035</v>
      </c>
      <c r="F750">
        <v>25</v>
      </c>
      <c r="G750">
        <v>6</v>
      </c>
      <c r="H750">
        <v>1010</v>
      </c>
      <c r="I750">
        <v>2.4154589371980681</v>
      </c>
      <c r="J750">
        <v>97.584541062801932</v>
      </c>
      <c r="K750" t="str">
        <f>_xlfn.XLOOKUP(tblProduction[[#This Row],[Product]],tblProducts[Product],tblProducts[Category],"Not Found")</f>
        <v>Standard</v>
      </c>
      <c r="L750">
        <f>_xlfn.XLOOKUP(tblProduction[[#This Row],[Product]],tblProducts[Product],tblProducts[Target_Units],"Not Found")</f>
        <v>1000</v>
      </c>
    </row>
    <row r="751" spans="1:12" x14ac:dyDescent="0.3">
      <c r="A751" s="1">
        <v>46107</v>
      </c>
      <c r="B751" t="s">
        <v>15</v>
      </c>
      <c r="C751" t="s">
        <v>12</v>
      </c>
      <c r="D751" t="s">
        <v>16</v>
      </c>
      <c r="E751">
        <v>865</v>
      </c>
      <c r="F751">
        <v>21</v>
      </c>
      <c r="G751">
        <v>79</v>
      </c>
      <c r="H751">
        <v>844</v>
      </c>
      <c r="I751">
        <v>2.4277456647398838</v>
      </c>
      <c r="J751">
        <v>97.572254335260112</v>
      </c>
      <c r="K751" t="str">
        <f>_xlfn.XLOOKUP(tblProduction[[#This Row],[Product]],tblProducts[Product],tblProducts[Category],"Not Found")</f>
        <v>Standard</v>
      </c>
      <c r="L751">
        <f>_xlfn.XLOOKUP(tblProduction[[#This Row],[Product]],tblProducts[Product],tblProducts[Target_Units],"Not Found")</f>
        <v>1000</v>
      </c>
    </row>
    <row r="752" spans="1:12" x14ac:dyDescent="0.3">
      <c r="A752" s="1">
        <v>46107</v>
      </c>
      <c r="B752" t="s">
        <v>15</v>
      </c>
      <c r="C752" t="s">
        <v>13</v>
      </c>
      <c r="D752" t="s">
        <v>18</v>
      </c>
      <c r="E752">
        <v>704</v>
      </c>
      <c r="F752">
        <v>24</v>
      </c>
      <c r="G752">
        <v>79</v>
      </c>
      <c r="H752">
        <v>680</v>
      </c>
      <c r="I752">
        <v>3.4090909090909092</v>
      </c>
      <c r="J752">
        <v>96.590909090909093</v>
      </c>
      <c r="K752" t="str">
        <f>_xlfn.XLOOKUP(tblProduction[[#This Row],[Product]],tblProducts[Product],tblProducts[Category],"Not Found")</f>
        <v>Assembly</v>
      </c>
      <c r="L752">
        <f>_xlfn.XLOOKUP(tblProduction[[#This Row],[Product]],tblProducts[Product],tblProducts[Target_Units],"Not Found")</f>
        <v>900</v>
      </c>
    </row>
    <row r="753" spans="1:12" x14ac:dyDescent="0.3">
      <c r="A753" s="1">
        <v>46107</v>
      </c>
      <c r="B753" t="s">
        <v>17</v>
      </c>
      <c r="C753" t="s">
        <v>10</v>
      </c>
      <c r="D753" t="s">
        <v>16</v>
      </c>
      <c r="E753">
        <v>762</v>
      </c>
      <c r="F753">
        <v>26</v>
      </c>
      <c r="G753">
        <v>75</v>
      </c>
      <c r="H753">
        <v>736</v>
      </c>
      <c r="I753">
        <v>3.4120734908136479</v>
      </c>
      <c r="J753">
        <v>96.587926509186346</v>
      </c>
      <c r="K753" t="str">
        <f>_xlfn.XLOOKUP(tblProduction[[#This Row],[Product]],tblProducts[Product],tblProducts[Category],"Not Found")</f>
        <v>Standard</v>
      </c>
      <c r="L753">
        <f>_xlfn.XLOOKUP(tblProduction[[#This Row],[Product]],tblProducts[Product],tblProducts[Target_Units],"Not Found")</f>
        <v>1000</v>
      </c>
    </row>
    <row r="754" spans="1:12" x14ac:dyDescent="0.3">
      <c r="A754" s="1">
        <v>46107</v>
      </c>
      <c r="B754" t="s">
        <v>17</v>
      </c>
      <c r="C754" t="s">
        <v>12</v>
      </c>
      <c r="D754" t="s">
        <v>16</v>
      </c>
      <c r="E754">
        <v>739</v>
      </c>
      <c r="F754">
        <v>25</v>
      </c>
      <c r="G754">
        <v>88</v>
      </c>
      <c r="H754">
        <v>714</v>
      </c>
      <c r="I754">
        <v>3.3829499323410008</v>
      </c>
      <c r="J754">
        <v>96.617050067658994</v>
      </c>
      <c r="K754" t="str">
        <f>_xlfn.XLOOKUP(tblProduction[[#This Row],[Product]],tblProducts[Product],tblProducts[Category],"Not Found")</f>
        <v>Standard</v>
      </c>
      <c r="L754">
        <f>_xlfn.XLOOKUP(tblProduction[[#This Row],[Product]],tblProducts[Product],tblProducts[Target_Units],"Not Found")</f>
        <v>1000</v>
      </c>
    </row>
    <row r="755" spans="1:12" x14ac:dyDescent="0.3">
      <c r="A755" s="1">
        <v>46107</v>
      </c>
      <c r="B755" t="s">
        <v>17</v>
      </c>
      <c r="C755" t="s">
        <v>13</v>
      </c>
      <c r="D755" t="s">
        <v>18</v>
      </c>
      <c r="E755">
        <v>638</v>
      </c>
      <c r="F755">
        <v>28</v>
      </c>
      <c r="G755">
        <v>78</v>
      </c>
      <c r="H755">
        <v>610</v>
      </c>
      <c r="I755">
        <v>4.3887147335423196</v>
      </c>
      <c r="J755">
        <v>95.611285266457685</v>
      </c>
      <c r="K755" t="str">
        <f>_xlfn.XLOOKUP(tblProduction[[#This Row],[Product]],tblProducts[Product],tblProducts[Category],"Not Found")</f>
        <v>Assembly</v>
      </c>
      <c r="L755">
        <f>_xlfn.XLOOKUP(tblProduction[[#This Row],[Product]],tblProducts[Product],tblProducts[Target_Units],"Not Found")</f>
        <v>900</v>
      </c>
    </row>
    <row r="756" spans="1:12" x14ac:dyDescent="0.3">
      <c r="A756" s="1">
        <v>46108</v>
      </c>
      <c r="B756" t="s">
        <v>9</v>
      </c>
      <c r="C756" t="s">
        <v>10</v>
      </c>
      <c r="D756" t="s">
        <v>16</v>
      </c>
      <c r="E756">
        <v>1050</v>
      </c>
      <c r="F756">
        <v>15</v>
      </c>
      <c r="G756">
        <v>24</v>
      </c>
      <c r="H756">
        <v>1035</v>
      </c>
      <c r="I756">
        <v>1.428571428571429</v>
      </c>
      <c r="J756">
        <v>98.571428571428584</v>
      </c>
      <c r="K756" t="str">
        <f>_xlfn.XLOOKUP(tblProduction[[#This Row],[Product]],tblProducts[Product],tblProducts[Category],"Not Found")</f>
        <v>Standard</v>
      </c>
      <c r="L756">
        <f>_xlfn.XLOOKUP(tblProduction[[#This Row],[Product]],tblProducts[Product],tblProducts[Target_Units],"Not Found")</f>
        <v>1000</v>
      </c>
    </row>
    <row r="757" spans="1:12" x14ac:dyDescent="0.3">
      <c r="A757" s="1">
        <v>46108</v>
      </c>
      <c r="B757" t="s">
        <v>9</v>
      </c>
      <c r="C757" t="s">
        <v>12</v>
      </c>
      <c r="D757" t="s">
        <v>16</v>
      </c>
      <c r="E757">
        <v>1031</v>
      </c>
      <c r="F757">
        <v>15</v>
      </c>
      <c r="G757">
        <v>2</v>
      </c>
      <c r="H757">
        <v>1016</v>
      </c>
      <c r="I757">
        <v>1.4548981571290009</v>
      </c>
      <c r="J757">
        <v>98.545101842870992</v>
      </c>
      <c r="K757" t="str">
        <f>_xlfn.XLOOKUP(tblProduction[[#This Row],[Product]],tblProducts[Product],tblProducts[Category],"Not Found")</f>
        <v>Standard</v>
      </c>
      <c r="L757">
        <f>_xlfn.XLOOKUP(tblProduction[[#This Row],[Product]],tblProducts[Product],tblProducts[Target_Units],"Not Found")</f>
        <v>1000</v>
      </c>
    </row>
    <row r="758" spans="1:12" x14ac:dyDescent="0.3">
      <c r="A758" s="1">
        <v>46108</v>
      </c>
      <c r="B758" t="s">
        <v>9</v>
      </c>
      <c r="C758" t="s">
        <v>13</v>
      </c>
      <c r="D758" t="s">
        <v>18</v>
      </c>
      <c r="E758">
        <v>789</v>
      </c>
      <c r="F758">
        <v>19</v>
      </c>
      <c r="G758">
        <v>63</v>
      </c>
      <c r="H758">
        <v>770</v>
      </c>
      <c r="I758">
        <v>2.4081115335868191</v>
      </c>
      <c r="J758">
        <v>97.591888466413181</v>
      </c>
      <c r="K758" t="str">
        <f>_xlfn.XLOOKUP(tblProduction[[#This Row],[Product]],tblProducts[Product],tblProducts[Category],"Not Found")</f>
        <v>Assembly</v>
      </c>
      <c r="L758">
        <f>_xlfn.XLOOKUP(tblProduction[[#This Row],[Product]],tblProducts[Product],tblProducts[Target_Units],"Not Found")</f>
        <v>900</v>
      </c>
    </row>
    <row r="759" spans="1:12" x14ac:dyDescent="0.3">
      <c r="A759" s="1">
        <v>46108</v>
      </c>
      <c r="B759" t="s">
        <v>15</v>
      </c>
      <c r="C759" t="s">
        <v>10</v>
      </c>
      <c r="D759" t="s">
        <v>11</v>
      </c>
      <c r="E759">
        <v>865</v>
      </c>
      <c r="F759">
        <v>21</v>
      </c>
      <c r="G759">
        <v>49</v>
      </c>
      <c r="H759">
        <v>844</v>
      </c>
      <c r="I759">
        <v>2.4277456647398838</v>
      </c>
      <c r="J759">
        <v>97.572254335260112</v>
      </c>
      <c r="K759" t="str">
        <f>_xlfn.XLOOKUP(tblProduction[[#This Row],[Product]],tblProducts[Product],tblProducts[Category],"Not Found")</f>
        <v>Precision</v>
      </c>
      <c r="L759">
        <f>_xlfn.XLOOKUP(tblProduction[[#This Row],[Product]],tblProducts[Product],tblProducts[Target_Units],"Not Found")</f>
        <v>950</v>
      </c>
    </row>
    <row r="760" spans="1:12" x14ac:dyDescent="0.3">
      <c r="A760" s="1">
        <v>46108</v>
      </c>
      <c r="B760" t="s">
        <v>15</v>
      </c>
      <c r="C760" t="s">
        <v>12</v>
      </c>
      <c r="D760" t="s">
        <v>16</v>
      </c>
      <c r="E760">
        <v>834</v>
      </c>
      <c r="F760">
        <v>20</v>
      </c>
      <c r="G760">
        <v>88</v>
      </c>
      <c r="H760">
        <v>814</v>
      </c>
      <c r="I760">
        <v>2.398081534772182</v>
      </c>
      <c r="J760">
        <v>97.601918465227826</v>
      </c>
      <c r="K760" t="str">
        <f>_xlfn.XLOOKUP(tblProduction[[#This Row],[Product]],tblProducts[Product],tblProducts[Category],"Not Found")</f>
        <v>Standard</v>
      </c>
      <c r="L760">
        <f>_xlfn.XLOOKUP(tblProduction[[#This Row],[Product]],tblProducts[Product],tblProducts[Target_Units],"Not Found")</f>
        <v>1000</v>
      </c>
    </row>
    <row r="761" spans="1:12" x14ac:dyDescent="0.3">
      <c r="A761" s="1">
        <v>46108</v>
      </c>
      <c r="B761" t="s">
        <v>15</v>
      </c>
      <c r="C761" t="s">
        <v>13</v>
      </c>
      <c r="D761" t="s">
        <v>16</v>
      </c>
      <c r="E761">
        <v>780</v>
      </c>
      <c r="F761">
        <v>27</v>
      </c>
      <c r="G761">
        <v>78</v>
      </c>
      <c r="H761">
        <v>753</v>
      </c>
      <c r="I761">
        <v>3.4615384615384621</v>
      </c>
      <c r="J761">
        <v>96.538461538461533</v>
      </c>
      <c r="K761" t="str">
        <f>_xlfn.XLOOKUP(tblProduction[[#This Row],[Product]],tblProducts[Product],tblProducts[Category],"Not Found")</f>
        <v>Standard</v>
      </c>
      <c r="L761">
        <f>_xlfn.XLOOKUP(tblProduction[[#This Row],[Product]],tblProducts[Product],tblProducts[Target_Units],"Not Found")</f>
        <v>1000</v>
      </c>
    </row>
    <row r="762" spans="1:12" x14ac:dyDescent="0.3">
      <c r="A762" s="1">
        <v>46108</v>
      </c>
      <c r="B762" t="s">
        <v>17</v>
      </c>
      <c r="C762" t="s">
        <v>10</v>
      </c>
      <c r="D762" t="s">
        <v>11</v>
      </c>
      <c r="E762">
        <v>812</v>
      </c>
      <c r="F762">
        <v>28</v>
      </c>
      <c r="G762">
        <v>42</v>
      </c>
      <c r="H762">
        <v>784</v>
      </c>
      <c r="I762">
        <v>3.4482758620689649</v>
      </c>
      <c r="J762">
        <v>96.551724137931032</v>
      </c>
      <c r="K762" t="str">
        <f>_xlfn.XLOOKUP(tblProduction[[#This Row],[Product]],tblProducts[Product],tblProducts[Category],"Not Found")</f>
        <v>Precision</v>
      </c>
      <c r="L762">
        <f>_xlfn.XLOOKUP(tblProduction[[#This Row],[Product]],tblProducts[Product],tblProducts[Target_Units],"Not Found")</f>
        <v>950</v>
      </c>
    </row>
    <row r="763" spans="1:12" x14ac:dyDescent="0.3">
      <c r="A763" s="1">
        <v>46108</v>
      </c>
      <c r="B763" t="s">
        <v>17</v>
      </c>
      <c r="C763" t="s">
        <v>12</v>
      </c>
      <c r="D763" t="s">
        <v>11</v>
      </c>
      <c r="E763">
        <v>692</v>
      </c>
      <c r="F763">
        <v>24</v>
      </c>
      <c r="G763">
        <v>64</v>
      </c>
      <c r="H763">
        <v>668</v>
      </c>
      <c r="I763">
        <v>3.4682080924855492</v>
      </c>
      <c r="J763">
        <v>96.531791907514446</v>
      </c>
      <c r="K763" t="str">
        <f>_xlfn.XLOOKUP(tblProduction[[#This Row],[Product]],tblProducts[Product],tblProducts[Category],"Not Found")</f>
        <v>Precision</v>
      </c>
      <c r="L763">
        <f>_xlfn.XLOOKUP(tblProduction[[#This Row],[Product]],tblProducts[Product],tblProducts[Target_Units],"Not Found")</f>
        <v>950</v>
      </c>
    </row>
    <row r="764" spans="1:12" x14ac:dyDescent="0.3">
      <c r="A764" s="1">
        <v>46108</v>
      </c>
      <c r="B764" t="s">
        <v>17</v>
      </c>
      <c r="C764" t="s">
        <v>13</v>
      </c>
      <c r="D764" t="s">
        <v>16</v>
      </c>
      <c r="E764">
        <v>768</v>
      </c>
      <c r="F764">
        <v>34</v>
      </c>
      <c r="G764">
        <v>29</v>
      </c>
      <c r="H764">
        <v>734</v>
      </c>
      <c r="I764">
        <v>4.4270833333333339</v>
      </c>
      <c r="J764">
        <v>95.572916666666657</v>
      </c>
      <c r="K764" t="str">
        <f>_xlfn.XLOOKUP(tblProduction[[#This Row],[Product]],tblProducts[Product],tblProducts[Category],"Not Found")</f>
        <v>Standard</v>
      </c>
      <c r="L764">
        <f>_xlfn.XLOOKUP(tblProduction[[#This Row],[Product]],tblProducts[Product],tblProducts[Target_Units],"Not Found")</f>
        <v>1000</v>
      </c>
    </row>
    <row r="765" spans="1:12" x14ac:dyDescent="0.3">
      <c r="A765" s="1">
        <v>46109</v>
      </c>
      <c r="B765" t="s">
        <v>9</v>
      </c>
      <c r="C765" t="s">
        <v>10</v>
      </c>
      <c r="D765" t="s">
        <v>18</v>
      </c>
      <c r="E765">
        <v>968</v>
      </c>
      <c r="F765">
        <v>14</v>
      </c>
      <c r="G765">
        <v>19</v>
      </c>
      <c r="H765">
        <v>954</v>
      </c>
      <c r="I765">
        <v>1.446280991735537</v>
      </c>
      <c r="J765">
        <v>98.553719008264466</v>
      </c>
      <c r="K765" t="str">
        <f>_xlfn.XLOOKUP(tblProduction[[#This Row],[Product]],tblProducts[Product],tblProducts[Category],"Not Found")</f>
        <v>Assembly</v>
      </c>
      <c r="L765">
        <f>_xlfn.XLOOKUP(tblProduction[[#This Row],[Product]],tblProducts[Product],tblProducts[Target_Units],"Not Found")</f>
        <v>900</v>
      </c>
    </row>
    <row r="766" spans="1:12" x14ac:dyDescent="0.3">
      <c r="A766" s="1">
        <v>46109</v>
      </c>
      <c r="B766" t="s">
        <v>9</v>
      </c>
      <c r="C766" t="s">
        <v>12</v>
      </c>
      <c r="D766" t="s">
        <v>11</v>
      </c>
      <c r="E766">
        <v>910</v>
      </c>
      <c r="F766">
        <v>13</v>
      </c>
      <c r="G766">
        <v>57</v>
      </c>
      <c r="H766">
        <v>897</v>
      </c>
      <c r="I766">
        <v>1.428571428571429</v>
      </c>
      <c r="J766">
        <v>98.571428571428584</v>
      </c>
      <c r="K766" t="str">
        <f>_xlfn.XLOOKUP(tblProduction[[#This Row],[Product]],tblProducts[Product],tblProducts[Category],"Not Found")</f>
        <v>Precision</v>
      </c>
      <c r="L766">
        <f>_xlfn.XLOOKUP(tblProduction[[#This Row],[Product]],tblProducts[Product],tblProducts[Target_Units],"Not Found")</f>
        <v>950</v>
      </c>
    </row>
    <row r="767" spans="1:12" x14ac:dyDescent="0.3">
      <c r="A767" s="1">
        <v>46109</v>
      </c>
      <c r="B767" t="s">
        <v>9</v>
      </c>
      <c r="C767" t="s">
        <v>13</v>
      </c>
      <c r="D767" t="s">
        <v>14</v>
      </c>
      <c r="E767">
        <v>761</v>
      </c>
      <c r="F767">
        <v>25</v>
      </c>
      <c r="G767">
        <v>70</v>
      </c>
      <c r="H767">
        <v>736</v>
      </c>
      <c r="I767">
        <v>3.2851511169513801</v>
      </c>
      <c r="J767">
        <v>96.714848883048617</v>
      </c>
      <c r="K767" t="str">
        <f>_xlfn.XLOOKUP(tblProduction[[#This Row],[Product]],tblProducts[Product],tblProducts[Category],"Not Found")</f>
        <v>Assembly</v>
      </c>
      <c r="L767">
        <f>_xlfn.XLOOKUP(tblProduction[[#This Row],[Product]],tblProducts[Product],tblProducts[Target_Units],"Not Found")</f>
        <v>850</v>
      </c>
    </row>
    <row r="768" spans="1:12" x14ac:dyDescent="0.3">
      <c r="A768" s="1">
        <v>46109</v>
      </c>
      <c r="B768" t="s">
        <v>15</v>
      </c>
      <c r="C768" t="s">
        <v>10</v>
      </c>
      <c r="D768" t="s">
        <v>11</v>
      </c>
      <c r="E768">
        <v>801</v>
      </c>
      <c r="F768">
        <v>20</v>
      </c>
      <c r="G768">
        <v>89</v>
      </c>
      <c r="H768">
        <v>781</v>
      </c>
      <c r="I768">
        <v>2.4968789013732828</v>
      </c>
      <c r="J768">
        <v>97.503121098626721</v>
      </c>
      <c r="K768" t="str">
        <f>_xlfn.XLOOKUP(tblProduction[[#This Row],[Product]],tblProducts[Product],tblProducts[Category],"Not Found")</f>
        <v>Precision</v>
      </c>
      <c r="L768">
        <f>_xlfn.XLOOKUP(tblProduction[[#This Row],[Product]],tblProducts[Product],tblProducts[Target_Units],"Not Found")</f>
        <v>950</v>
      </c>
    </row>
    <row r="769" spans="1:12" x14ac:dyDescent="0.3">
      <c r="A769" s="1">
        <v>46109</v>
      </c>
      <c r="B769" t="s">
        <v>15</v>
      </c>
      <c r="C769" t="s">
        <v>12</v>
      </c>
      <c r="D769" t="s">
        <v>16</v>
      </c>
      <c r="E769">
        <v>867</v>
      </c>
      <c r="F769">
        <v>21</v>
      </c>
      <c r="G769">
        <v>68</v>
      </c>
      <c r="H769">
        <v>846</v>
      </c>
      <c r="I769">
        <v>2.422145328719723</v>
      </c>
      <c r="J769">
        <v>97.577854671280278</v>
      </c>
      <c r="K769" t="str">
        <f>_xlfn.XLOOKUP(tblProduction[[#This Row],[Product]],tblProducts[Product],tblProducts[Category],"Not Found")</f>
        <v>Standard</v>
      </c>
      <c r="L769">
        <f>_xlfn.XLOOKUP(tblProduction[[#This Row],[Product]],tblProducts[Product],tblProducts[Target_Units],"Not Found")</f>
        <v>1000</v>
      </c>
    </row>
    <row r="770" spans="1:12" x14ac:dyDescent="0.3">
      <c r="A770" s="1">
        <v>46109</v>
      </c>
      <c r="B770" t="s">
        <v>15</v>
      </c>
      <c r="C770" t="s">
        <v>13</v>
      </c>
      <c r="D770" t="s">
        <v>14</v>
      </c>
      <c r="E770">
        <v>754</v>
      </c>
      <c r="F770">
        <v>32</v>
      </c>
      <c r="G770">
        <v>7</v>
      </c>
      <c r="H770">
        <v>722</v>
      </c>
      <c r="I770">
        <v>4.2440318302387263</v>
      </c>
      <c r="J770">
        <v>95.755968169761275</v>
      </c>
      <c r="K770" t="str">
        <f>_xlfn.XLOOKUP(tblProduction[[#This Row],[Product]],tblProducts[Product],tblProducts[Category],"Not Found")</f>
        <v>Assembly</v>
      </c>
      <c r="L770">
        <f>_xlfn.XLOOKUP(tblProduction[[#This Row],[Product]],tblProducts[Product],tblProducts[Target_Units],"Not Found")</f>
        <v>850</v>
      </c>
    </row>
    <row r="771" spans="1:12" x14ac:dyDescent="0.3">
      <c r="A771" s="1">
        <v>46109</v>
      </c>
      <c r="B771" t="s">
        <v>17</v>
      </c>
      <c r="C771" t="s">
        <v>10</v>
      </c>
      <c r="D771" t="s">
        <v>14</v>
      </c>
      <c r="E771">
        <v>754</v>
      </c>
      <c r="F771">
        <v>32</v>
      </c>
      <c r="G771">
        <v>35</v>
      </c>
      <c r="H771">
        <v>722</v>
      </c>
      <c r="I771">
        <v>4.2440318302387263</v>
      </c>
      <c r="J771">
        <v>95.755968169761275</v>
      </c>
      <c r="K771" t="str">
        <f>_xlfn.XLOOKUP(tblProduction[[#This Row],[Product]],tblProducts[Product],tblProducts[Category],"Not Found")</f>
        <v>Assembly</v>
      </c>
      <c r="L771">
        <f>_xlfn.XLOOKUP(tblProduction[[#This Row],[Product]],tblProducts[Product],tblProducts[Target_Units],"Not Found")</f>
        <v>850</v>
      </c>
    </row>
    <row r="772" spans="1:12" x14ac:dyDescent="0.3">
      <c r="A772" s="1">
        <v>46109</v>
      </c>
      <c r="B772" t="s">
        <v>17</v>
      </c>
      <c r="C772" t="s">
        <v>12</v>
      </c>
      <c r="D772" t="s">
        <v>11</v>
      </c>
      <c r="E772">
        <v>714</v>
      </c>
      <c r="F772">
        <v>24</v>
      </c>
      <c r="G772">
        <v>70</v>
      </c>
      <c r="H772">
        <v>690</v>
      </c>
      <c r="I772">
        <v>3.3613445378151261</v>
      </c>
      <c r="J772">
        <v>96.638655462184872</v>
      </c>
      <c r="K772" t="str">
        <f>_xlfn.XLOOKUP(tblProduction[[#This Row],[Product]],tblProducts[Product],tblProducts[Category],"Not Found")</f>
        <v>Precision</v>
      </c>
      <c r="L772">
        <f>_xlfn.XLOOKUP(tblProduction[[#This Row],[Product]],tblProducts[Product],tblProducts[Target_Units],"Not Found")</f>
        <v>950</v>
      </c>
    </row>
    <row r="773" spans="1:12" x14ac:dyDescent="0.3">
      <c r="A773" s="1">
        <v>46109</v>
      </c>
      <c r="B773" t="s">
        <v>17</v>
      </c>
      <c r="C773" t="s">
        <v>13</v>
      </c>
      <c r="D773" t="s">
        <v>16</v>
      </c>
      <c r="E773">
        <v>719</v>
      </c>
      <c r="F773">
        <v>32</v>
      </c>
      <c r="G773">
        <v>67</v>
      </c>
      <c r="H773">
        <v>687</v>
      </c>
      <c r="I773">
        <v>4.4506258692628649</v>
      </c>
      <c r="J773">
        <v>95.549374130737135</v>
      </c>
      <c r="K773" t="str">
        <f>_xlfn.XLOOKUP(tblProduction[[#This Row],[Product]],tblProducts[Product],tblProducts[Category],"Not Found")</f>
        <v>Standard</v>
      </c>
      <c r="L773">
        <f>_xlfn.XLOOKUP(tblProduction[[#This Row],[Product]],tblProducts[Product],tblProducts[Target_Units],"Not Found")</f>
        <v>1000</v>
      </c>
    </row>
    <row r="774" spans="1:12" x14ac:dyDescent="0.3">
      <c r="A774" s="1">
        <v>46110</v>
      </c>
      <c r="B774" t="s">
        <v>9</v>
      </c>
      <c r="C774" t="s">
        <v>10</v>
      </c>
      <c r="D774" t="s">
        <v>16</v>
      </c>
      <c r="E774">
        <v>941</v>
      </c>
      <c r="F774">
        <v>14</v>
      </c>
      <c r="G774">
        <v>60</v>
      </c>
      <c r="H774">
        <v>927</v>
      </c>
      <c r="I774">
        <v>1.487778958554729</v>
      </c>
      <c r="J774">
        <v>98.512221041445272</v>
      </c>
      <c r="K774" t="str">
        <f>_xlfn.XLOOKUP(tblProduction[[#This Row],[Product]],tblProducts[Product],tblProducts[Category],"Not Found")</f>
        <v>Standard</v>
      </c>
      <c r="L774">
        <f>_xlfn.XLOOKUP(tblProduction[[#This Row],[Product]],tblProducts[Product],tblProducts[Target_Units],"Not Found")</f>
        <v>1000</v>
      </c>
    </row>
    <row r="775" spans="1:12" x14ac:dyDescent="0.3">
      <c r="A775" s="1">
        <v>46110</v>
      </c>
      <c r="B775" t="s">
        <v>9</v>
      </c>
      <c r="C775" t="s">
        <v>12</v>
      </c>
      <c r="D775" t="s">
        <v>18</v>
      </c>
      <c r="E775">
        <v>768</v>
      </c>
      <c r="F775">
        <v>11</v>
      </c>
      <c r="G775">
        <v>88</v>
      </c>
      <c r="H775">
        <v>757</v>
      </c>
      <c r="I775">
        <v>1.432291666666667</v>
      </c>
      <c r="J775">
        <v>98.567708333333343</v>
      </c>
      <c r="K775" t="str">
        <f>_xlfn.XLOOKUP(tblProduction[[#This Row],[Product]],tblProducts[Product],tblProducts[Category],"Not Found")</f>
        <v>Assembly</v>
      </c>
      <c r="L775">
        <f>_xlfn.XLOOKUP(tblProduction[[#This Row],[Product]],tblProducts[Product],tblProducts[Target_Units],"Not Found")</f>
        <v>900</v>
      </c>
    </row>
    <row r="776" spans="1:12" x14ac:dyDescent="0.3">
      <c r="A776" s="1">
        <v>46110</v>
      </c>
      <c r="B776" t="s">
        <v>9</v>
      </c>
      <c r="C776" t="s">
        <v>13</v>
      </c>
      <c r="D776" t="s">
        <v>11</v>
      </c>
      <c r="E776">
        <v>829</v>
      </c>
      <c r="F776">
        <v>20</v>
      </c>
      <c r="G776">
        <v>78</v>
      </c>
      <c r="H776">
        <v>809</v>
      </c>
      <c r="I776">
        <v>2.4125452352231598</v>
      </c>
      <c r="J776">
        <v>97.587454764776837</v>
      </c>
      <c r="K776" t="str">
        <f>_xlfn.XLOOKUP(tblProduction[[#This Row],[Product]],tblProducts[Product],tblProducts[Category],"Not Found")</f>
        <v>Precision</v>
      </c>
      <c r="L776">
        <f>_xlfn.XLOOKUP(tblProduction[[#This Row],[Product]],tblProducts[Product],tblProducts[Target_Units],"Not Found")</f>
        <v>950</v>
      </c>
    </row>
    <row r="777" spans="1:12" x14ac:dyDescent="0.3">
      <c r="A777" s="1">
        <v>46110</v>
      </c>
      <c r="B777" t="s">
        <v>15</v>
      </c>
      <c r="C777" t="s">
        <v>10</v>
      </c>
      <c r="D777" t="s">
        <v>14</v>
      </c>
      <c r="E777">
        <v>814</v>
      </c>
      <c r="F777">
        <v>26</v>
      </c>
      <c r="G777">
        <v>10</v>
      </c>
      <c r="H777">
        <v>788</v>
      </c>
      <c r="I777">
        <v>3.1941031941031941</v>
      </c>
      <c r="J777">
        <v>96.805896805896808</v>
      </c>
      <c r="K777" t="str">
        <f>_xlfn.XLOOKUP(tblProduction[[#This Row],[Product]],tblProducts[Product],tblProducts[Category],"Not Found")</f>
        <v>Assembly</v>
      </c>
      <c r="L777">
        <f>_xlfn.XLOOKUP(tblProduction[[#This Row],[Product]],tblProducts[Product],tblProducts[Target_Units],"Not Found")</f>
        <v>850</v>
      </c>
    </row>
    <row r="778" spans="1:12" x14ac:dyDescent="0.3">
      <c r="A778" s="1">
        <v>46110</v>
      </c>
      <c r="B778" t="s">
        <v>15</v>
      </c>
      <c r="C778" t="s">
        <v>12</v>
      </c>
      <c r="D778" t="s">
        <v>14</v>
      </c>
      <c r="E778">
        <v>819</v>
      </c>
      <c r="F778">
        <v>27</v>
      </c>
      <c r="G778">
        <v>2</v>
      </c>
      <c r="H778">
        <v>792</v>
      </c>
      <c r="I778">
        <v>3.296703296703297</v>
      </c>
      <c r="J778">
        <v>96.703296703296701</v>
      </c>
      <c r="K778" t="str">
        <f>_xlfn.XLOOKUP(tblProduction[[#This Row],[Product]],tblProducts[Product],tblProducts[Category],"Not Found")</f>
        <v>Assembly</v>
      </c>
      <c r="L778">
        <f>_xlfn.XLOOKUP(tblProduction[[#This Row],[Product]],tblProducts[Product],tblProducts[Target_Units],"Not Found")</f>
        <v>850</v>
      </c>
    </row>
    <row r="779" spans="1:12" x14ac:dyDescent="0.3">
      <c r="A779" s="1">
        <v>46110</v>
      </c>
      <c r="B779" t="s">
        <v>15</v>
      </c>
      <c r="C779" t="s">
        <v>13</v>
      </c>
      <c r="D779" t="s">
        <v>18</v>
      </c>
      <c r="E779">
        <v>644</v>
      </c>
      <c r="F779">
        <v>22</v>
      </c>
      <c r="G779">
        <v>90</v>
      </c>
      <c r="H779">
        <v>622</v>
      </c>
      <c r="I779">
        <v>3.4161490683229809</v>
      </c>
      <c r="J779">
        <v>96.58385093167702</v>
      </c>
      <c r="K779" t="str">
        <f>_xlfn.XLOOKUP(tblProduction[[#This Row],[Product]],tblProducts[Product],tblProducts[Category],"Not Found")</f>
        <v>Assembly</v>
      </c>
      <c r="L779">
        <f>_xlfn.XLOOKUP(tblProduction[[#This Row],[Product]],tblProducts[Product],tblProducts[Target_Units],"Not Found")</f>
        <v>900</v>
      </c>
    </row>
    <row r="780" spans="1:12" x14ac:dyDescent="0.3">
      <c r="A780" s="1">
        <v>46110</v>
      </c>
      <c r="B780" t="s">
        <v>17</v>
      </c>
      <c r="C780" t="s">
        <v>10</v>
      </c>
      <c r="D780" t="s">
        <v>18</v>
      </c>
      <c r="E780">
        <v>730</v>
      </c>
      <c r="F780">
        <v>25</v>
      </c>
      <c r="G780">
        <v>81</v>
      </c>
      <c r="H780">
        <v>705</v>
      </c>
      <c r="I780">
        <v>3.4246575342465748</v>
      </c>
      <c r="J780">
        <v>96.575342465753423</v>
      </c>
      <c r="K780" t="str">
        <f>_xlfn.XLOOKUP(tblProduction[[#This Row],[Product]],tblProducts[Product],tblProducts[Category],"Not Found")</f>
        <v>Assembly</v>
      </c>
      <c r="L780">
        <f>_xlfn.XLOOKUP(tblProduction[[#This Row],[Product]],tblProducts[Product],tblProducts[Target_Units],"Not Found")</f>
        <v>900</v>
      </c>
    </row>
    <row r="781" spans="1:12" x14ac:dyDescent="0.3">
      <c r="A781" s="1">
        <v>46110</v>
      </c>
      <c r="B781" t="s">
        <v>17</v>
      </c>
      <c r="C781" t="s">
        <v>12</v>
      </c>
      <c r="D781" t="s">
        <v>18</v>
      </c>
      <c r="E781">
        <v>673</v>
      </c>
      <c r="F781">
        <v>23</v>
      </c>
      <c r="G781">
        <v>63</v>
      </c>
      <c r="H781">
        <v>650</v>
      </c>
      <c r="I781">
        <v>3.4175334323922728</v>
      </c>
      <c r="J781">
        <v>96.582466567607725</v>
      </c>
      <c r="K781" t="str">
        <f>_xlfn.XLOOKUP(tblProduction[[#This Row],[Product]],tblProducts[Product],tblProducts[Category],"Not Found")</f>
        <v>Assembly</v>
      </c>
      <c r="L781">
        <f>_xlfn.XLOOKUP(tblProduction[[#This Row],[Product]],tblProducts[Product],tblProducts[Target_Units],"Not Found")</f>
        <v>900</v>
      </c>
    </row>
    <row r="782" spans="1:12" x14ac:dyDescent="0.3">
      <c r="A782" s="1">
        <v>46110</v>
      </c>
      <c r="B782" t="s">
        <v>17</v>
      </c>
      <c r="C782" t="s">
        <v>13</v>
      </c>
      <c r="D782" t="s">
        <v>11</v>
      </c>
      <c r="E782">
        <v>700</v>
      </c>
      <c r="F782">
        <v>31</v>
      </c>
      <c r="G782">
        <v>47</v>
      </c>
      <c r="H782">
        <v>669</v>
      </c>
      <c r="I782">
        <v>4.4285714285714279</v>
      </c>
      <c r="J782">
        <v>95.571428571428569</v>
      </c>
      <c r="K782" t="str">
        <f>_xlfn.XLOOKUP(tblProduction[[#This Row],[Product]],tblProducts[Product],tblProducts[Category],"Not Found")</f>
        <v>Precision</v>
      </c>
      <c r="L782">
        <f>_xlfn.XLOOKUP(tblProduction[[#This Row],[Product]],tblProducts[Product],tblProducts[Target_Units],"Not Found")</f>
        <v>950</v>
      </c>
    </row>
    <row r="783" spans="1:12" x14ac:dyDescent="0.3">
      <c r="A783" s="1">
        <v>46111</v>
      </c>
      <c r="B783" t="s">
        <v>9</v>
      </c>
      <c r="C783" t="s">
        <v>10</v>
      </c>
      <c r="D783" t="s">
        <v>11</v>
      </c>
      <c r="E783">
        <v>914</v>
      </c>
      <c r="F783">
        <v>13</v>
      </c>
      <c r="G783">
        <v>71</v>
      </c>
      <c r="H783">
        <v>901</v>
      </c>
      <c r="I783">
        <v>1.4223194748358861</v>
      </c>
      <c r="J783">
        <v>98.577680525164112</v>
      </c>
      <c r="K783" t="str">
        <f>_xlfn.XLOOKUP(tblProduction[[#This Row],[Product]],tblProducts[Product],tblProducts[Category],"Not Found")</f>
        <v>Precision</v>
      </c>
      <c r="L783">
        <f>_xlfn.XLOOKUP(tblProduction[[#This Row],[Product]],tblProducts[Product],tblProducts[Target_Units],"Not Found")</f>
        <v>950</v>
      </c>
    </row>
    <row r="784" spans="1:12" x14ac:dyDescent="0.3">
      <c r="A784" s="1">
        <v>46111</v>
      </c>
      <c r="B784" t="s">
        <v>9</v>
      </c>
      <c r="C784" t="s">
        <v>12</v>
      </c>
      <c r="D784" t="s">
        <v>11</v>
      </c>
      <c r="E784">
        <v>844</v>
      </c>
      <c r="F784">
        <v>12</v>
      </c>
      <c r="G784">
        <v>86</v>
      </c>
      <c r="H784">
        <v>832</v>
      </c>
      <c r="I784">
        <v>1.421800947867299</v>
      </c>
      <c r="J784">
        <v>98.578199052132703</v>
      </c>
      <c r="K784" t="str">
        <f>_xlfn.XLOOKUP(tblProduction[[#This Row],[Product]],tblProducts[Product],tblProducts[Category],"Not Found")</f>
        <v>Precision</v>
      </c>
      <c r="L784">
        <f>_xlfn.XLOOKUP(tblProduction[[#This Row],[Product]],tblProducts[Product],tblProducts[Target_Units],"Not Found")</f>
        <v>950</v>
      </c>
    </row>
    <row r="785" spans="1:12" x14ac:dyDescent="0.3">
      <c r="A785" s="1">
        <v>46111</v>
      </c>
      <c r="B785" t="s">
        <v>9</v>
      </c>
      <c r="C785" t="s">
        <v>13</v>
      </c>
      <c r="D785" t="s">
        <v>16</v>
      </c>
      <c r="E785">
        <v>837</v>
      </c>
      <c r="F785">
        <v>20</v>
      </c>
      <c r="G785">
        <v>74</v>
      </c>
      <c r="H785">
        <v>817</v>
      </c>
      <c r="I785">
        <v>2.389486260454003</v>
      </c>
      <c r="J785">
        <v>97.610513739546008</v>
      </c>
      <c r="K785" t="str">
        <f>_xlfn.XLOOKUP(tblProduction[[#This Row],[Product]],tblProducts[Product],tblProducts[Category],"Not Found")</f>
        <v>Standard</v>
      </c>
      <c r="L785">
        <f>_xlfn.XLOOKUP(tblProduction[[#This Row],[Product]],tblProducts[Product],tblProducts[Target_Units],"Not Found")</f>
        <v>1000</v>
      </c>
    </row>
    <row r="786" spans="1:12" x14ac:dyDescent="0.3">
      <c r="A786" s="1">
        <v>46111</v>
      </c>
      <c r="B786" t="s">
        <v>15</v>
      </c>
      <c r="C786" t="s">
        <v>10</v>
      </c>
      <c r="D786" t="s">
        <v>11</v>
      </c>
      <c r="E786">
        <v>847</v>
      </c>
      <c r="F786">
        <v>21</v>
      </c>
      <c r="G786">
        <v>86</v>
      </c>
      <c r="H786">
        <v>826</v>
      </c>
      <c r="I786">
        <v>2.4793388429752068</v>
      </c>
      <c r="J786">
        <v>97.52066115702479</v>
      </c>
      <c r="K786" t="str">
        <f>_xlfn.XLOOKUP(tblProduction[[#This Row],[Product]],tblProducts[Product],tblProducts[Category],"Not Found")</f>
        <v>Precision</v>
      </c>
      <c r="L786">
        <f>_xlfn.XLOOKUP(tblProduction[[#This Row],[Product]],tblProducts[Product],tblProducts[Target_Units],"Not Found")</f>
        <v>950</v>
      </c>
    </row>
    <row r="787" spans="1:12" x14ac:dyDescent="0.3">
      <c r="A787" s="1">
        <v>46111</v>
      </c>
      <c r="B787" t="s">
        <v>15</v>
      </c>
      <c r="C787" t="s">
        <v>12</v>
      </c>
      <c r="D787" t="s">
        <v>16</v>
      </c>
      <c r="E787">
        <v>830</v>
      </c>
      <c r="F787">
        <v>20</v>
      </c>
      <c r="G787">
        <v>73</v>
      </c>
      <c r="H787">
        <v>810</v>
      </c>
      <c r="I787">
        <v>2.4096385542168681</v>
      </c>
      <c r="J787">
        <v>97.590361445783131</v>
      </c>
      <c r="K787" t="str">
        <f>_xlfn.XLOOKUP(tblProduction[[#This Row],[Product]],tblProducts[Product],tblProducts[Category],"Not Found")</f>
        <v>Standard</v>
      </c>
      <c r="L787">
        <f>_xlfn.XLOOKUP(tblProduction[[#This Row],[Product]],tblProducts[Product],tblProducts[Target_Units],"Not Found")</f>
        <v>1000</v>
      </c>
    </row>
    <row r="788" spans="1:12" x14ac:dyDescent="0.3">
      <c r="A788" s="1">
        <v>46111</v>
      </c>
      <c r="B788" t="s">
        <v>15</v>
      </c>
      <c r="C788" t="s">
        <v>13</v>
      </c>
      <c r="D788" t="s">
        <v>11</v>
      </c>
      <c r="E788">
        <v>752</v>
      </c>
      <c r="F788">
        <v>26</v>
      </c>
      <c r="G788">
        <v>62</v>
      </c>
      <c r="H788">
        <v>726</v>
      </c>
      <c r="I788">
        <v>3.457446808510638</v>
      </c>
      <c r="J788">
        <v>96.542553191489361</v>
      </c>
      <c r="K788" t="str">
        <f>_xlfn.XLOOKUP(tblProduction[[#This Row],[Product]],tblProducts[Product],tblProducts[Category],"Not Found")</f>
        <v>Precision</v>
      </c>
      <c r="L788">
        <f>_xlfn.XLOOKUP(tblProduction[[#This Row],[Product]],tblProducts[Product],tblProducts[Target_Units],"Not Found")</f>
        <v>950</v>
      </c>
    </row>
    <row r="789" spans="1:12" x14ac:dyDescent="0.3">
      <c r="A789" s="1">
        <v>46111</v>
      </c>
      <c r="B789" t="s">
        <v>17</v>
      </c>
      <c r="C789" t="s">
        <v>10</v>
      </c>
      <c r="D789" t="s">
        <v>18</v>
      </c>
      <c r="E789">
        <v>719</v>
      </c>
      <c r="F789">
        <v>25</v>
      </c>
      <c r="G789">
        <v>73</v>
      </c>
      <c r="H789">
        <v>694</v>
      </c>
      <c r="I789">
        <v>3.4770514603616132</v>
      </c>
      <c r="J789">
        <v>96.522948539638392</v>
      </c>
      <c r="K789" t="str">
        <f>_xlfn.XLOOKUP(tblProduction[[#This Row],[Product]],tblProducts[Product],tblProducts[Category],"Not Found")</f>
        <v>Assembly</v>
      </c>
      <c r="L789">
        <f>_xlfn.XLOOKUP(tblProduction[[#This Row],[Product]],tblProducts[Product],tblProducts[Target_Units],"Not Found")</f>
        <v>900</v>
      </c>
    </row>
    <row r="790" spans="1:12" x14ac:dyDescent="0.3">
      <c r="A790" s="1">
        <v>46111</v>
      </c>
      <c r="B790" t="s">
        <v>17</v>
      </c>
      <c r="C790" t="s">
        <v>13</v>
      </c>
      <c r="D790" t="s">
        <v>14</v>
      </c>
      <c r="E790">
        <v>657</v>
      </c>
      <c r="F790">
        <v>34</v>
      </c>
      <c r="G790">
        <v>15</v>
      </c>
      <c r="H790">
        <v>623</v>
      </c>
      <c r="I790">
        <v>5.1750380517503807</v>
      </c>
      <c r="J790">
        <v>94.824961948249623</v>
      </c>
      <c r="K790" t="str">
        <f>_xlfn.XLOOKUP(tblProduction[[#This Row],[Product]],tblProducts[Product],tblProducts[Category],"Not Found")</f>
        <v>Assembly</v>
      </c>
      <c r="L790">
        <f>_xlfn.XLOOKUP(tblProduction[[#This Row],[Product]],tblProducts[Product],tblProducts[Target_Units],"Not Found")</f>
        <v>850</v>
      </c>
    </row>
    <row r="791" spans="1:12" x14ac:dyDescent="0.3">
      <c r="A791" s="1">
        <v>46112</v>
      </c>
      <c r="B791" t="s">
        <v>9</v>
      </c>
      <c r="C791" t="s">
        <v>10</v>
      </c>
      <c r="D791" t="s">
        <v>14</v>
      </c>
      <c r="E791">
        <v>908</v>
      </c>
      <c r="F791">
        <v>20</v>
      </c>
      <c r="G791">
        <v>27</v>
      </c>
      <c r="H791">
        <v>888</v>
      </c>
      <c r="I791">
        <v>2.2026431718061681</v>
      </c>
      <c r="J791">
        <v>97.797356828193841</v>
      </c>
      <c r="K791" t="str">
        <f>_xlfn.XLOOKUP(tblProduction[[#This Row],[Product]],tblProducts[Product],tblProducts[Category],"Not Found")</f>
        <v>Assembly</v>
      </c>
      <c r="L791">
        <f>_xlfn.XLOOKUP(tblProduction[[#This Row],[Product]],tblProducts[Product],tblProducts[Target_Units],"Not Found")</f>
        <v>850</v>
      </c>
    </row>
    <row r="792" spans="1:12" x14ac:dyDescent="0.3">
      <c r="A792" s="1">
        <v>46112</v>
      </c>
      <c r="B792" t="s">
        <v>9</v>
      </c>
      <c r="C792" t="s">
        <v>12</v>
      </c>
      <c r="D792" t="s">
        <v>14</v>
      </c>
      <c r="E792">
        <v>882</v>
      </c>
      <c r="F792">
        <v>20</v>
      </c>
      <c r="G792">
        <v>1</v>
      </c>
      <c r="H792">
        <v>862</v>
      </c>
      <c r="I792">
        <v>2.2675736961451252</v>
      </c>
      <c r="J792">
        <v>97.732426303854879</v>
      </c>
      <c r="K792" t="str">
        <f>_xlfn.XLOOKUP(tblProduction[[#This Row],[Product]],tblProducts[Product],tblProducts[Category],"Not Found")</f>
        <v>Assembly</v>
      </c>
      <c r="L792">
        <f>_xlfn.XLOOKUP(tblProduction[[#This Row],[Product]],tblProducts[Product],tblProducts[Target_Units],"Not Found")</f>
        <v>850</v>
      </c>
    </row>
    <row r="793" spans="1:12" x14ac:dyDescent="0.3">
      <c r="A793" s="1">
        <v>46112</v>
      </c>
      <c r="B793" t="s">
        <v>9</v>
      </c>
      <c r="C793" t="s">
        <v>13</v>
      </c>
      <c r="D793" t="s">
        <v>11</v>
      </c>
      <c r="E793">
        <v>915</v>
      </c>
      <c r="F793">
        <v>22</v>
      </c>
      <c r="G793">
        <v>26</v>
      </c>
      <c r="H793">
        <v>893</v>
      </c>
      <c r="I793">
        <v>2.404371584699454</v>
      </c>
      <c r="J793">
        <v>97.595628415300553</v>
      </c>
      <c r="K793" t="str">
        <f>_xlfn.XLOOKUP(tblProduction[[#This Row],[Product]],tblProducts[Product],tblProducts[Category],"Not Found")</f>
        <v>Precision</v>
      </c>
      <c r="L793">
        <f>_xlfn.XLOOKUP(tblProduction[[#This Row],[Product]],tblProducts[Product],tblProducts[Target_Units],"Not Found")</f>
        <v>950</v>
      </c>
    </row>
    <row r="794" spans="1:12" x14ac:dyDescent="0.3">
      <c r="A794" s="1">
        <v>46112</v>
      </c>
      <c r="B794" t="s">
        <v>15</v>
      </c>
      <c r="C794" t="s">
        <v>10</v>
      </c>
      <c r="D794" t="s">
        <v>14</v>
      </c>
      <c r="E794">
        <v>743</v>
      </c>
      <c r="F794">
        <v>24</v>
      </c>
      <c r="G794">
        <v>69</v>
      </c>
      <c r="H794">
        <v>719</v>
      </c>
      <c r="I794">
        <v>3.2301480484522211</v>
      </c>
      <c r="J794">
        <v>96.769851951547778</v>
      </c>
      <c r="K794" t="str">
        <f>_xlfn.XLOOKUP(tblProduction[[#This Row],[Product]],tblProducts[Product],tblProducts[Category],"Not Found")</f>
        <v>Assembly</v>
      </c>
      <c r="L794">
        <f>_xlfn.XLOOKUP(tblProduction[[#This Row],[Product]],tblProducts[Product],tblProducts[Target_Units],"Not Found")</f>
        <v>850</v>
      </c>
    </row>
    <row r="795" spans="1:12" x14ac:dyDescent="0.3">
      <c r="A795" s="1">
        <v>46112</v>
      </c>
      <c r="B795" t="s">
        <v>15</v>
      </c>
      <c r="C795" t="s">
        <v>12</v>
      </c>
      <c r="D795" t="s">
        <v>16</v>
      </c>
      <c r="E795">
        <v>816</v>
      </c>
      <c r="F795">
        <v>20</v>
      </c>
      <c r="G795">
        <v>83</v>
      </c>
      <c r="H795">
        <v>796</v>
      </c>
      <c r="I795">
        <v>2.4509803921568629</v>
      </c>
      <c r="J795">
        <v>97.549019607843135</v>
      </c>
      <c r="K795" t="str">
        <f>_xlfn.XLOOKUP(tblProduction[[#This Row],[Product]],tblProducts[Product],tblProducts[Category],"Not Found")</f>
        <v>Standard</v>
      </c>
      <c r="L795">
        <f>_xlfn.XLOOKUP(tblProduction[[#This Row],[Product]],tblProducts[Product],tblProducts[Target_Units],"Not Found")</f>
        <v>1000</v>
      </c>
    </row>
    <row r="796" spans="1:12" x14ac:dyDescent="0.3">
      <c r="A796" s="1">
        <v>46112</v>
      </c>
      <c r="B796" t="s">
        <v>15</v>
      </c>
      <c r="C796" t="s">
        <v>13</v>
      </c>
      <c r="D796" t="s">
        <v>14</v>
      </c>
      <c r="E796">
        <v>679</v>
      </c>
      <c r="F796">
        <v>29</v>
      </c>
      <c r="G796">
        <v>38</v>
      </c>
      <c r="H796">
        <v>650</v>
      </c>
      <c r="I796">
        <v>4.2709867452135493</v>
      </c>
      <c r="J796">
        <v>95.729013254786452</v>
      </c>
      <c r="K796" t="str">
        <f>_xlfn.XLOOKUP(tblProduction[[#This Row],[Product]],tblProducts[Product],tblProducts[Category],"Not Found")</f>
        <v>Assembly</v>
      </c>
      <c r="L796">
        <f>_xlfn.XLOOKUP(tblProduction[[#This Row],[Product]],tblProducts[Product],tblProducts[Target_Units],"Not Found")</f>
        <v>850</v>
      </c>
    </row>
    <row r="797" spans="1:12" x14ac:dyDescent="0.3">
      <c r="A797" s="1">
        <v>46112</v>
      </c>
      <c r="B797" t="s">
        <v>17</v>
      </c>
      <c r="C797" t="s">
        <v>10</v>
      </c>
      <c r="D797" t="s">
        <v>14</v>
      </c>
      <c r="E797">
        <v>695</v>
      </c>
      <c r="F797">
        <v>29</v>
      </c>
      <c r="G797">
        <v>77</v>
      </c>
      <c r="H797">
        <v>666</v>
      </c>
      <c r="I797">
        <v>4.1726618705035978</v>
      </c>
      <c r="J797">
        <v>95.827338129496397</v>
      </c>
      <c r="K797" t="str">
        <f>_xlfn.XLOOKUP(tblProduction[[#This Row],[Product]],tblProducts[Product],tblProducts[Category],"Not Found")</f>
        <v>Assembly</v>
      </c>
      <c r="L797">
        <f>_xlfn.XLOOKUP(tblProduction[[#This Row],[Product]],tblProducts[Product],tblProducts[Target_Units],"Not Found")</f>
        <v>850</v>
      </c>
    </row>
    <row r="798" spans="1:12" x14ac:dyDescent="0.3">
      <c r="A798" s="1">
        <v>46112</v>
      </c>
      <c r="B798" t="s">
        <v>17</v>
      </c>
      <c r="C798" t="s">
        <v>12</v>
      </c>
      <c r="D798" t="s">
        <v>14</v>
      </c>
      <c r="E798">
        <v>677</v>
      </c>
      <c r="F798">
        <v>29</v>
      </c>
      <c r="G798">
        <v>28</v>
      </c>
      <c r="H798">
        <v>648</v>
      </c>
      <c r="I798">
        <v>4.2836041358936487</v>
      </c>
      <c r="J798">
        <v>95.716395864106346</v>
      </c>
      <c r="K798" t="str">
        <f>_xlfn.XLOOKUP(tblProduction[[#This Row],[Product]],tblProducts[Product],tblProducts[Category],"Not Found")</f>
        <v>Assembly</v>
      </c>
      <c r="L798">
        <f>_xlfn.XLOOKUP(tblProduction[[#This Row],[Product]],tblProducts[Product],tblProducts[Target_Units],"Not Found")</f>
        <v>850</v>
      </c>
    </row>
    <row r="799" spans="1:12" x14ac:dyDescent="0.3">
      <c r="A799" s="1">
        <v>46112</v>
      </c>
      <c r="B799" t="s">
        <v>17</v>
      </c>
      <c r="C799" t="s">
        <v>13</v>
      </c>
      <c r="D799" t="s">
        <v>11</v>
      </c>
      <c r="E799">
        <v>682</v>
      </c>
      <c r="F799">
        <v>30</v>
      </c>
      <c r="G799">
        <v>66</v>
      </c>
      <c r="H799">
        <v>652</v>
      </c>
      <c r="I799">
        <v>4.3988269794721413</v>
      </c>
      <c r="J799">
        <v>95.601173020527867</v>
      </c>
      <c r="K799" t="str">
        <f>_xlfn.XLOOKUP(tblProduction[[#This Row],[Product]],tblProducts[Product],tblProducts[Category],"Not Found")</f>
        <v>Precision</v>
      </c>
      <c r="L799">
        <f>_xlfn.XLOOKUP(tblProduction[[#This Row],[Product]],tblProducts[Product],tblProducts[Target_Units],"Not Found")</f>
        <v>950</v>
      </c>
    </row>
    <row r="800" spans="1:12" x14ac:dyDescent="0.3">
      <c r="A800" s="1">
        <v>46113</v>
      </c>
      <c r="B800" t="s">
        <v>9</v>
      </c>
      <c r="C800" t="s">
        <v>10</v>
      </c>
      <c r="D800" t="s">
        <v>11</v>
      </c>
      <c r="E800">
        <v>961</v>
      </c>
      <c r="F800">
        <v>14</v>
      </c>
      <c r="G800">
        <v>44</v>
      </c>
      <c r="H800">
        <v>947</v>
      </c>
      <c r="I800">
        <v>1.4568158168574401</v>
      </c>
      <c r="J800">
        <v>98.543184183142557</v>
      </c>
      <c r="K800" t="str">
        <f>_xlfn.XLOOKUP(tblProduction[[#This Row],[Product]],tblProducts[Product],tblProducts[Category],"Not Found")</f>
        <v>Precision</v>
      </c>
      <c r="L800">
        <f>_xlfn.XLOOKUP(tblProduction[[#This Row],[Product]],tblProducts[Product],tblProducts[Target_Units],"Not Found")</f>
        <v>950</v>
      </c>
    </row>
    <row r="801" spans="1:12" x14ac:dyDescent="0.3">
      <c r="A801" s="1">
        <v>46113</v>
      </c>
      <c r="B801" t="s">
        <v>9</v>
      </c>
      <c r="C801" t="s">
        <v>12</v>
      </c>
      <c r="D801" t="s">
        <v>18</v>
      </c>
      <c r="E801">
        <v>790</v>
      </c>
      <c r="F801">
        <v>11</v>
      </c>
      <c r="G801">
        <v>79</v>
      </c>
      <c r="H801">
        <v>779</v>
      </c>
      <c r="I801">
        <v>1.3924050632911389</v>
      </c>
      <c r="J801">
        <v>98.607594936708864</v>
      </c>
      <c r="K801" t="str">
        <f>_xlfn.XLOOKUP(tblProduction[[#This Row],[Product]],tblProducts[Product],tblProducts[Category],"Not Found")</f>
        <v>Assembly</v>
      </c>
      <c r="L801">
        <f>_xlfn.XLOOKUP(tblProduction[[#This Row],[Product]],tblProducts[Product],tblProducts[Target_Units],"Not Found")</f>
        <v>900</v>
      </c>
    </row>
    <row r="802" spans="1:12" x14ac:dyDescent="0.3">
      <c r="A802" s="1">
        <v>46113</v>
      </c>
      <c r="B802" t="s">
        <v>9</v>
      </c>
      <c r="C802" t="s">
        <v>13</v>
      </c>
      <c r="D802" t="s">
        <v>18</v>
      </c>
      <c r="E802">
        <v>818</v>
      </c>
      <c r="F802">
        <v>20</v>
      </c>
      <c r="G802">
        <v>60</v>
      </c>
      <c r="H802">
        <v>798</v>
      </c>
      <c r="I802">
        <v>2.4449877750611249</v>
      </c>
      <c r="J802">
        <v>97.555012224938878</v>
      </c>
      <c r="K802" t="str">
        <f>_xlfn.XLOOKUP(tblProduction[[#This Row],[Product]],tblProducts[Product],tblProducts[Category],"Not Found")</f>
        <v>Assembly</v>
      </c>
      <c r="L802">
        <f>_xlfn.XLOOKUP(tblProduction[[#This Row],[Product]],tblProducts[Product],tblProducts[Target_Units],"Not Found")</f>
        <v>900</v>
      </c>
    </row>
    <row r="803" spans="1:12" x14ac:dyDescent="0.3">
      <c r="A803" s="1">
        <v>46113</v>
      </c>
      <c r="B803" t="s">
        <v>15</v>
      </c>
      <c r="C803" t="s">
        <v>10</v>
      </c>
      <c r="D803" t="s">
        <v>16</v>
      </c>
      <c r="E803">
        <v>827</v>
      </c>
      <c r="F803">
        <v>20</v>
      </c>
      <c r="G803">
        <v>85</v>
      </c>
      <c r="H803">
        <v>807</v>
      </c>
      <c r="I803">
        <v>2.418379685610641</v>
      </c>
      <c r="J803">
        <v>97.581620314389355</v>
      </c>
      <c r="K803" t="str">
        <f>_xlfn.XLOOKUP(tblProduction[[#This Row],[Product]],tblProducts[Product],tblProducts[Category],"Not Found")</f>
        <v>Standard</v>
      </c>
      <c r="L803">
        <f>_xlfn.XLOOKUP(tblProduction[[#This Row],[Product]],tblProducts[Product],tblProducts[Target_Units],"Not Found")</f>
        <v>1000</v>
      </c>
    </row>
    <row r="804" spans="1:12" x14ac:dyDescent="0.3">
      <c r="A804" s="1">
        <v>46113</v>
      </c>
      <c r="B804" t="s">
        <v>15</v>
      </c>
      <c r="C804" t="s">
        <v>12</v>
      </c>
      <c r="D804" t="s">
        <v>18</v>
      </c>
      <c r="E804">
        <v>790</v>
      </c>
      <c r="F804">
        <v>19</v>
      </c>
      <c r="G804">
        <v>53</v>
      </c>
      <c r="H804">
        <v>771</v>
      </c>
      <c r="I804">
        <v>2.40506329113924</v>
      </c>
      <c r="J804">
        <v>97.594936708860757</v>
      </c>
      <c r="K804" t="str">
        <f>_xlfn.XLOOKUP(tblProduction[[#This Row],[Product]],tblProducts[Product],tblProducts[Category],"Not Found")</f>
        <v>Assembly</v>
      </c>
      <c r="L804">
        <f>_xlfn.XLOOKUP(tblProduction[[#This Row],[Product]],tblProducts[Product],tblProducts[Target_Units],"Not Found")</f>
        <v>900</v>
      </c>
    </row>
    <row r="805" spans="1:12" x14ac:dyDescent="0.3">
      <c r="A805" s="1">
        <v>46113</v>
      </c>
      <c r="B805" t="s">
        <v>15</v>
      </c>
      <c r="C805" t="s">
        <v>13</v>
      </c>
      <c r="D805" t="s">
        <v>11</v>
      </c>
      <c r="E805">
        <v>797</v>
      </c>
      <c r="F805">
        <v>27</v>
      </c>
      <c r="G805">
        <v>43</v>
      </c>
      <c r="H805">
        <v>770</v>
      </c>
      <c r="I805">
        <v>3.3877038895859481</v>
      </c>
      <c r="J805">
        <v>96.61229611041405</v>
      </c>
      <c r="K805" t="str">
        <f>_xlfn.XLOOKUP(tblProduction[[#This Row],[Product]],tblProducts[Product],tblProducts[Category],"Not Found")</f>
        <v>Precision</v>
      </c>
      <c r="L805">
        <f>_xlfn.XLOOKUP(tblProduction[[#This Row],[Product]],tblProducts[Product],tblProducts[Target_Units],"Not Found")</f>
        <v>950</v>
      </c>
    </row>
    <row r="806" spans="1:12" x14ac:dyDescent="0.3">
      <c r="A806" s="1">
        <v>46113</v>
      </c>
      <c r="B806" t="s">
        <v>17</v>
      </c>
      <c r="C806" t="s">
        <v>10</v>
      </c>
      <c r="D806" t="s">
        <v>16</v>
      </c>
      <c r="E806">
        <v>837</v>
      </c>
      <c r="F806">
        <v>29</v>
      </c>
      <c r="G806">
        <v>66</v>
      </c>
      <c r="H806">
        <v>808</v>
      </c>
      <c r="I806">
        <v>3.4647550776583032</v>
      </c>
      <c r="J806">
        <v>96.535244922341704</v>
      </c>
      <c r="K806" t="str">
        <f>_xlfn.XLOOKUP(tblProduction[[#This Row],[Product]],tblProducts[Product],tblProducts[Category],"Not Found")</f>
        <v>Standard</v>
      </c>
      <c r="L806">
        <f>_xlfn.XLOOKUP(tblProduction[[#This Row],[Product]],tblProducts[Product],tblProducts[Target_Units],"Not Found")</f>
        <v>1000</v>
      </c>
    </row>
    <row r="807" spans="1:12" x14ac:dyDescent="0.3">
      <c r="A807" s="1">
        <v>46113</v>
      </c>
      <c r="B807" t="s">
        <v>17</v>
      </c>
      <c r="C807" t="s">
        <v>12</v>
      </c>
      <c r="D807" t="s">
        <v>18</v>
      </c>
      <c r="E807">
        <v>754</v>
      </c>
      <c r="F807">
        <v>26</v>
      </c>
      <c r="G807">
        <v>27</v>
      </c>
      <c r="H807">
        <v>728</v>
      </c>
      <c r="I807">
        <v>3.4482758620689649</v>
      </c>
      <c r="J807">
        <v>96.551724137931032</v>
      </c>
      <c r="K807" t="str">
        <f>_xlfn.XLOOKUP(tblProduction[[#This Row],[Product]],tblProducts[Product],tblProducts[Category],"Not Found")</f>
        <v>Assembly</v>
      </c>
      <c r="L807">
        <f>_xlfn.XLOOKUP(tblProduction[[#This Row],[Product]],tblProducts[Product],tblProducts[Target_Units],"Not Found")</f>
        <v>900</v>
      </c>
    </row>
    <row r="808" spans="1:12" x14ac:dyDescent="0.3">
      <c r="A808" s="1">
        <v>46113</v>
      </c>
      <c r="B808" t="s">
        <v>17</v>
      </c>
      <c r="C808" t="s">
        <v>13</v>
      </c>
      <c r="D808" t="s">
        <v>18</v>
      </c>
      <c r="E808">
        <v>704</v>
      </c>
      <c r="F808">
        <v>31</v>
      </c>
      <c r="G808">
        <v>12</v>
      </c>
      <c r="H808">
        <v>673</v>
      </c>
      <c r="I808">
        <v>4.4034090909090908</v>
      </c>
      <c r="J808">
        <v>95.596590909090907</v>
      </c>
      <c r="K808" t="str">
        <f>_xlfn.XLOOKUP(tblProduction[[#This Row],[Product]],tblProducts[Product],tblProducts[Category],"Not Found")</f>
        <v>Assembly</v>
      </c>
      <c r="L808">
        <f>_xlfn.XLOOKUP(tblProduction[[#This Row],[Product]],tblProducts[Product],tblProducts[Target_Units],"Not Found")</f>
        <v>900</v>
      </c>
    </row>
    <row r="809" spans="1:12" x14ac:dyDescent="0.3">
      <c r="A809" s="1">
        <v>46114</v>
      </c>
      <c r="B809" t="s">
        <v>9</v>
      </c>
      <c r="C809" t="s">
        <v>10</v>
      </c>
      <c r="D809" t="s">
        <v>16</v>
      </c>
      <c r="E809">
        <v>1000</v>
      </c>
      <c r="F809">
        <v>15</v>
      </c>
      <c r="G809">
        <v>34</v>
      </c>
      <c r="H809">
        <v>985</v>
      </c>
      <c r="I809">
        <v>1.5</v>
      </c>
      <c r="J809">
        <v>98.5</v>
      </c>
      <c r="K809" t="str">
        <f>_xlfn.XLOOKUP(tblProduction[[#This Row],[Product]],tblProducts[Product],tblProducts[Category],"Not Found")</f>
        <v>Standard</v>
      </c>
      <c r="L809">
        <f>_xlfn.XLOOKUP(tblProduction[[#This Row],[Product]],tblProducts[Product],tblProducts[Target_Units],"Not Found")</f>
        <v>1000</v>
      </c>
    </row>
    <row r="810" spans="1:12" x14ac:dyDescent="0.3">
      <c r="A810" s="1">
        <v>46114</v>
      </c>
      <c r="B810" t="s">
        <v>9</v>
      </c>
      <c r="C810" t="s">
        <v>12</v>
      </c>
      <c r="D810" t="s">
        <v>16</v>
      </c>
      <c r="E810">
        <v>992</v>
      </c>
      <c r="F810">
        <v>14</v>
      </c>
      <c r="G810">
        <v>29</v>
      </c>
      <c r="H810">
        <v>978</v>
      </c>
      <c r="I810">
        <v>1.411290322580645</v>
      </c>
      <c r="J810">
        <v>98.588709677419345</v>
      </c>
      <c r="K810" t="str">
        <f>_xlfn.XLOOKUP(tblProduction[[#This Row],[Product]],tblProducts[Product],tblProducts[Category],"Not Found")</f>
        <v>Standard</v>
      </c>
      <c r="L810">
        <f>_xlfn.XLOOKUP(tblProduction[[#This Row],[Product]],tblProducts[Product],tblProducts[Target_Units],"Not Found")</f>
        <v>1000</v>
      </c>
    </row>
    <row r="811" spans="1:12" x14ac:dyDescent="0.3">
      <c r="A811" s="1">
        <v>46114</v>
      </c>
      <c r="B811" t="s">
        <v>9</v>
      </c>
      <c r="C811" t="s">
        <v>13</v>
      </c>
      <c r="D811" t="s">
        <v>16</v>
      </c>
      <c r="E811">
        <v>818</v>
      </c>
      <c r="F811">
        <v>20</v>
      </c>
      <c r="G811">
        <v>89</v>
      </c>
      <c r="H811">
        <v>798</v>
      </c>
      <c r="I811">
        <v>2.4449877750611249</v>
      </c>
      <c r="J811">
        <v>97.555012224938878</v>
      </c>
      <c r="K811" t="str">
        <f>_xlfn.XLOOKUP(tblProduction[[#This Row],[Product]],tblProducts[Product],tblProducts[Category],"Not Found")</f>
        <v>Standard</v>
      </c>
      <c r="L811">
        <f>_xlfn.XLOOKUP(tblProduction[[#This Row],[Product]],tblProducts[Product],tblProducts[Target_Units],"Not Found")</f>
        <v>1000</v>
      </c>
    </row>
    <row r="812" spans="1:12" x14ac:dyDescent="0.3">
      <c r="A812" s="1">
        <v>46114</v>
      </c>
      <c r="B812" t="s">
        <v>15</v>
      </c>
      <c r="C812" t="s">
        <v>10</v>
      </c>
      <c r="D812" t="s">
        <v>11</v>
      </c>
      <c r="E812">
        <v>926</v>
      </c>
      <c r="F812">
        <v>23</v>
      </c>
      <c r="G812">
        <v>36</v>
      </c>
      <c r="H812">
        <v>903</v>
      </c>
      <c r="I812">
        <v>2.483801295896328</v>
      </c>
      <c r="J812">
        <v>97.516198704103672</v>
      </c>
      <c r="K812" t="str">
        <f>_xlfn.XLOOKUP(tblProduction[[#This Row],[Product]],tblProducts[Product],tblProducts[Category],"Not Found")</f>
        <v>Precision</v>
      </c>
      <c r="L812">
        <f>_xlfn.XLOOKUP(tblProduction[[#This Row],[Product]],tblProducts[Product],tblProducts[Target_Units],"Not Found")</f>
        <v>950</v>
      </c>
    </row>
    <row r="813" spans="1:12" x14ac:dyDescent="0.3">
      <c r="A813" s="1">
        <v>46114</v>
      </c>
      <c r="B813" t="s">
        <v>15</v>
      </c>
      <c r="C813" t="s">
        <v>12</v>
      </c>
      <c r="D813" t="s">
        <v>18</v>
      </c>
      <c r="E813">
        <v>742</v>
      </c>
      <c r="F813">
        <v>18</v>
      </c>
      <c r="G813">
        <v>90</v>
      </c>
      <c r="H813">
        <v>724</v>
      </c>
      <c r="I813">
        <v>2.4258760107816708</v>
      </c>
      <c r="J813">
        <v>97.574123989218336</v>
      </c>
      <c r="K813" t="str">
        <f>_xlfn.XLOOKUP(tblProduction[[#This Row],[Product]],tblProducts[Product],tblProducts[Category],"Not Found")</f>
        <v>Assembly</v>
      </c>
      <c r="L813">
        <f>_xlfn.XLOOKUP(tblProduction[[#This Row],[Product]],tblProducts[Product],tblProducts[Target_Units],"Not Found")</f>
        <v>900</v>
      </c>
    </row>
    <row r="814" spans="1:12" x14ac:dyDescent="0.3">
      <c r="A814" s="1">
        <v>46114</v>
      </c>
      <c r="B814" t="s">
        <v>15</v>
      </c>
      <c r="C814" t="s">
        <v>13</v>
      </c>
      <c r="D814" t="s">
        <v>11</v>
      </c>
      <c r="E814">
        <v>851</v>
      </c>
      <c r="F814">
        <v>29</v>
      </c>
      <c r="G814">
        <v>4</v>
      </c>
      <c r="H814">
        <v>822</v>
      </c>
      <c r="I814">
        <v>3.4077555816686251</v>
      </c>
      <c r="J814">
        <v>96.592244418331376</v>
      </c>
      <c r="K814" t="str">
        <f>_xlfn.XLOOKUP(tblProduction[[#This Row],[Product]],tblProducts[Product],tblProducts[Category],"Not Found")</f>
        <v>Precision</v>
      </c>
      <c r="L814">
        <f>_xlfn.XLOOKUP(tblProduction[[#This Row],[Product]],tblProducts[Product],tblProducts[Target_Units],"Not Found")</f>
        <v>950</v>
      </c>
    </row>
    <row r="815" spans="1:12" x14ac:dyDescent="0.3">
      <c r="A815" s="1">
        <v>46114</v>
      </c>
      <c r="B815" t="s">
        <v>17</v>
      </c>
      <c r="C815" t="s">
        <v>10</v>
      </c>
      <c r="D815" t="s">
        <v>11</v>
      </c>
      <c r="E815">
        <v>712</v>
      </c>
      <c r="F815">
        <v>24</v>
      </c>
      <c r="G815">
        <v>78</v>
      </c>
      <c r="H815">
        <v>688</v>
      </c>
      <c r="I815">
        <v>3.3707865168539319</v>
      </c>
      <c r="J815">
        <v>96.629213483146074</v>
      </c>
      <c r="K815" t="str">
        <f>_xlfn.XLOOKUP(tblProduction[[#This Row],[Product]],tblProducts[Product],tblProducts[Category],"Not Found")</f>
        <v>Precision</v>
      </c>
      <c r="L815">
        <f>_xlfn.XLOOKUP(tblProduction[[#This Row],[Product]],tblProducts[Product],tblProducts[Target_Units],"Not Found")</f>
        <v>950</v>
      </c>
    </row>
    <row r="816" spans="1:12" x14ac:dyDescent="0.3">
      <c r="A816" s="1">
        <v>46114</v>
      </c>
      <c r="B816" t="s">
        <v>17</v>
      </c>
      <c r="C816" t="s">
        <v>12</v>
      </c>
      <c r="D816" t="s">
        <v>16</v>
      </c>
      <c r="E816">
        <v>817</v>
      </c>
      <c r="F816">
        <v>28</v>
      </c>
      <c r="G816">
        <v>53</v>
      </c>
      <c r="H816">
        <v>789</v>
      </c>
      <c r="I816">
        <v>3.4271725826193391</v>
      </c>
      <c r="J816">
        <v>96.572827417380651</v>
      </c>
      <c r="K816" t="str">
        <f>_xlfn.XLOOKUP(tblProduction[[#This Row],[Product]],tblProducts[Product],tblProducts[Category],"Not Found")</f>
        <v>Standard</v>
      </c>
      <c r="L816">
        <f>_xlfn.XLOOKUP(tblProduction[[#This Row],[Product]],tblProducts[Product],tblProducts[Target_Units],"Not Found")</f>
        <v>1000</v>
      </c>
    </row>
    <row r="817" spans="1:12" x14ac:dyDescent="0.3">
      <c r="A817" s="1">
        <v>46114</v>
      </c>
      <c r="B817" t="s">
        <v>17</v>
      </c>
      <c r="C817" t="s">
        <v>13</v>
      </c>
      <c r="D817" t="s">
        <v>11</v>
      </c>
      <c r="E817">
        <v>764</v>
      </c>
      <c r="F817">
        <v>34</v>
      </c>
      <c r="G817">
        <v>13</v>
      </c>
      <c r="H817">
        <v>730</v>
      </c>
      <c r="I817">
        <v>4.4502617801047117</v>
      </c>
      <c r="J817">
        <v>95.549738219895289</v>
      </c>
      <c r="K817" t="str">
        <f>_xlfn.XLOOKUP(tblProduction[[#This Row],[Product]],tblProducts[Product],tblProducts[Category],"Not Found")</f>
        <v>Precision</v>
      </c>
      <c r="L817">
        <f>_xlfn.XLOOKUP(tblProduction[[#This Row],[Product]],tblProducts[Product],tblProducts[Target_Units],"Not Found")</f>
        <v>950</v>
      </c>
    </row>
    <row r="818" spans="1:12" x14ac:dyDescent="0.3">
      <c r="A818" s="1">
        <v>46115</v>
      </c>
      <c r="B818" t="s">
        <v>9</v>
      </c>
      <c r="C818" t="s">
        <v>10</v>
      </c>
      <c r="D818" t="s">
        <v>14</v>
      </c>
      <c r="E818">
        <v>843</v>
      </c>
      <c r="F818">
        <v>19</v>
      </c>
      <c r="G818">
        <v>30</v>
      </c>
      <c r="H818">
        <v>824</v>
      </c>
      <c r="I818">
        <v>2.2538552787663111</v>
      </c>
      <c r="J818">
        <v>97.746144721233691</v>
      </c>
      <c r="K818" t="str">
        <f>_xlfn.XLOOKUP(tblProduction[[#This Row],[Product]],tblProducts[Product],tblProducts[Category],"Not Found")</f>
        <v>Assembly</v>
      </c>
      <c r="L818">
        <f>_xlfn.XLOOKUP(tblProduction[[#This Row],[Product]],tblProducts[Product],tblProducts[Target_Units],"Not Found")</f>
        <v>850</v>
      </c>
    </row>
    <row r="819" spans="1:12" x14ac:dyDescent="0.3">
      <c r="A819" s="1">
        <v>46115</v>
      </c>
      <c r="B819" t="s">
        <v>9</v>
      </c>
      <c r="C819" t="s">
        <v>12</v>
      </c>
      <c r="D819" t="s">
        <v>18</v>
      </c>
      <c r="E819">
        <v>866</v>
      </c>
      <c r="F819">
        <v>12</v>
      </c>
      <c r="G819">
        <v>24</v>
      </c>
      <c r="H819">
        <v>854</v>
      </c>
      <c r="I819">
        <v>1.38568129330254</v>
      </c>
      <c r="J819">
        <v>98.61431870669746</v>
      </c>
      <c r="K819" t="str">
        <f>_xlfn.XLOOKUP(tblProduction[[#This Row],[Product]],tblProducts[Product],tblProducts[Category],"Not Found")</f>
        <v>Assembly</v>
      </c>
      <c r="L819">
        <f>_xlfn.XLOOKUP(tblProduction[[#This Row],[Product]],tblProducts[Product],tblProducts[Target_Units],"Not Found")</f>
        <v>900</v>
      </c>
    </row>
    <row r="820" spans="1:12" x14ac:dyDescent="0.3">
      <c r="A820" s="1">
        <v>46115</v>
      </c>
      <c r="B820" t="s">
        <v>9</v>
      </c>
      <c r="C820" t="s">
        <v>13</v>
      </c>
      <c r="D820" t="s">
        <v>11</v>
      </c>
      <c r="E820">
        <v>790</v>
      </c>
      <c r="F820">
        <v>19</v>
      </c>
      <c r="G820">
        <v>75</v>
      </c>
      <c r="H820">
        <v>771</v>
      </c>
      <c r="I820">
        <v>2.40506329113924</v>
      </c>
      <c r="J820">
        <v>97.594936708860757</v>
      </c>
      <c r="K820" t="str">
        <f>_xlfn.XLOOKUP(tblProduction[[#This Row],[Product]],tblProducts[Product],tblProducts[Category],"Not Found")</f>
        <v>Precision</v>
      </c>
      <c r="L820">
        <f>_xlfn.XLOOKUP(tblProduction[[#This Row],[Product]],tblProducts[Product],tblProducts[Target_Units],"Not Found")</f>
        <v>950</v>
      </c>
    </row>
    <row r="821" spans="1:12" x14ac:dyDescent="0.3">
      <c r="A821" s="1">
        <v>46115</v>
      </c>
      <c r="B821" t="s">
        <v>15</v>
      </c>
      <c r="C821" t="s">
        <v>10</v>
      </c>
      <c r="D821" t="s">
        <v>14</v>
      </c>
      <c r="E821">
        <v>865</v>
      </c>
      <c r="F821">
        <v>28</v>
      </c>
      <c r="G821">
        <v>17</v>
      </c>
      <c r="H821">
        <v>837</v>
      </c>
      <c r="I821">
        <v>3.2369942196531789</v>
      </c>
      <c r="J821">
        <v>96.763005780346816</v>
      </c>
      <c r="K821" t="str">
        <f>_xlfn.XLOOKUP(tblProduction[[#This Row],[Product]],tblProducts[Product],tblProducts[Category],"Not Found")</f>
        <v>Assembly</v>
      </c>
      <c r="L821">
        <f>_xlfn.XLOOKUP(tblProduction[[#This Row],[Product]],tblProducts[Product],tblProducts[Target_Units],"Not Found")</f>
        <v>850</v>
      </c>
    </row>
    <row r="822" spans="1:12" x14ac:dyDescent="0.3">
      <c r="A822" s="1">
        <v>46115</v>
      </c>
      <c r="B822" t="s">
        <v>15</v>
      </c>
      <c r="C822" t="s">
        <v>12</v>
      </c>
      <c r="D822" t="s">
        <v>14</v>
      </c>
      <c r="E822">
        <v>705</v>
      </c>
      <c r="F822">
        <v>23</v>
      </c>
      <c r="G822">
        <v>88</v>
      </c>
      <c r="H822">
        <v>682</v>
      </c>
      <c r="I822">
        <v>3.2624113475177299</v>
      </c>
      <c r="J822">
        <v>96.737588652482259</v>
      </c>
      <c r="K822" t="str">
        <f>_xlfn.XLOOKUP(tblProduction[[#This Row],[Product]],tblProducts[Product],tblProducts[Category],"Not Found")</f>
        <v>Assembly</v>
      </c>
      <c r="L822">
        <f>_xlfn.XLOOKUP(tblProduction[[#This Row],[Product]],tblProducts[Product],tblProducts[Target_Units],"Not Found")</f>
        <v>850</v>
      </c>
    </row>
    <row r="823" spans="1:12" x14ac:dyDescent="0.3">
      <c r="A823" s="1">
        <v>46115</v>
      </c>
      <c r="B823" t="s">
        <v>15</v>
      </c>
      <c r="C823" t="s">
        <v>13</v>
      </c>
      <c r="D823" t="s">
        <v>16</v>
      </c>
      <c r="E823">
        <v>810</v>
      </c>
      <c r="F823">
        <v>28</v>
      </c>
      <c r="G823">
        <v>61</v>
      </c>
      <c r="H823">
        <v>782</v>
      </c>
      <c r="I823">
        <v>3.4567901234567899</v>
      </c>
      <c r="J823">
        <v>96.543209876543216</v>
      </c>
      <c r="K823" t="str">
        <f>_xlfn.XLOOKUP(tblProduction[[#This Row],[Product]],tblProducts[Product],tblProducts[Category],"Not Found")</f>
        <v>Standard</v>
      </c>
      <c r="L823">
        <f>_xlfn.XLOOKUP(tblProduction[[#This Row],[Product]],tblProducts[Product],tblProducts[Target_Units],"Not Found")</f>
        <v>1000</v>
      </c>
    </row>
    <row r="824" spans="1:12" x14ac:dyDescent="0.3">
      <c r="A824" s="1">
        <v>46115</v>
      </c>
      <c r="B824" t="s">
        <v>17</v>
      </c>
      <c r="C824" t="s">
        <v>10</v>
      </c>
      <c r="D824" t="s">
        <v>11</v>
      </c>
      <c r="E824">
        <v>783</v>
      </c>
      <c r="F824">
        <v>27</v>
      </c>
      <c r="G824">
        <v>62</v>
      </c>
      <c r="H824">
        <v>756</v>
      </c>
      <c r="I824">
        <v>3.4482758620689649</v>
      </c>
      <c r="J824">
        <v>96.551724137931032</v>
      </c>
      <c r="K824" t="str">
        <f>_xlfn.XLOOKUP(tblProduction[[#This Row],[Product]],tblProducts[Product],tblProducts[Category],"Not Found")</f>
        <v>Precision</v>
      </c>
      <c r="L824">
        <f>_xlfn.XLOOKUP(tblProduction[[#This Row],[Product]],tblProducts[Product],tblProducts[Target_Units],"Not Found")</f>
        <v>950</v>
      </c>
    </row>
    <row r="825" spans="1:12" x14ac:dyDescent="0.3">
      <c r="A825" s="1">
        <v>46115</v>
      </c>
      <c r="B825" t="s">
        <v>17</v>
      </c>
      <c r="C825" t="s">
        <v>12</v>
      </c>
      <c r="D825" t="s">
        <v>18</v>
      </c>
      <c r="E825">
        <v>740</v>
      </c>
      <c r="F825">
        <v>25</v>
      </c>
      <c r="G825">
        <v>10</v>
      </c>
      <c r="H825">
        <v>715</v>
      </c>
      <c r="I825">
        <v>3.378378378378379</v>
      </c>
      <c r="J825">
        <v>96.621621621621628</v>
      </c>
      <c r="K825" t="str">
        <f>_xlfn.XLOOKUP(tblProduction[[#This Row],[Product]],tblProducts[Product],tblProducts[Category],"Not Found")</f>
        <v>Assembly</v>
      </c>
      <c r="L825">
        <f>_xlfn.XLOOKUP(tblProduction[[#This Row],[Product]],tblProducts[Product],tblProducts[Target_Units],"Not Found")</f>
        <v>900</v>
      </c>
    </row>
    <row r="826" spans="1:12" x14ac:dyDescent="0.3">
      <c r="A826" s="1">
        <v>46115</v>
      </c>
      <c r="B826" t="s">
        <v>17</v>
      </c>
      <c r="C826" t="s">
        <v>13</v>
      </c>
      <c r="D826" t="s">
        <v>14</v>
      </c>
      <c r="E826">
        <v>629</v>
      </c>
      <c r="F826">
        <v>33</v>
      </c>
      <c r="G826">
        <v>52</v>
      </c>
      <c r="H826">
        <v>596</v>
      </c>
      <c r="I826">
        <v>5.246422893481717</v>
      </c>
      <c r="J826">
        <v>94.753577106518279</v>
      </c>
      <c r="K826" t="str">
        <f>_xlfn.XLOOKUP(tblProduction[[#This Row],[Product]],tblProducts[Product],tblProducts[Category],"Not Found")</f>
        <v>Assembly</v>
      </c>
      <c r="L826">
        <f>_xlfn.XLOOKUP(tblProduction[[#This Row],[Product]],tblProducts[Product],tblProducts[Target_Units],"Not Found")</f>
        <v>850</v>
      </c>
    </row>
    <row r="827" spans="1:12" x14ac:dyDescent="0.3">
      <c r="A827" s="1">
        <v>46116</v>
      </c>
      <c r="B827" t="s">
        <v>9</v>
      </c>
      <c r="C827" t="s">
        <v>10</v>
      </c>
      <c r="D827" t="s">
        <v>11</v>
      </c>
      <c r="E827">
        <v>1062</v>
      </c>
      <c r="F827">
        <v>15</v>
      </c>
      <c r="G827">
        <v>17</v>
      </c>
      <c r="H827">
        <v>1047</v>
      </c>
      <c r="I827">
        <v>1.412429378531074</v>
      </c>
      <c r="J827">
        <v>98.587570621468927</v>
      </c>
      <c r="K827" t="str">
        <f>_xlfn.XLOOKUP(tblProduction[[#This Row],[Product]],tblProducts[Product],tblProducts[Category],"Not Found")</f>
        <v>Precision</v>
      </c>
      <c r="L827">
        <f>_xlfn.XLOOKUP(tblProduction[[#This Row],[Product]],tblProducts[Product],tblProducts[Target_Units],"Not Found")</f>
        <v>950</v>
      </c>
    </row>
    <row r="828" spans="1:12" x14ac:dyDescent="0.3">
      <c r="A828" s="1">
        <v>46116</v>
      </c>
      <c r="B828" t="s">
        <v>9</v>
      </c>
      <c r="C828" t="s">
        <v>12</v>
      </c>
      <c r="D828" t="s">
        <v>16</v>
      </c>
      <c r="E828">
        <v>957</v>
      </c>
      <c r="F828">
        <v>14</v>
      </c>
      <c r="G828">
        <v>36</v>
      </c>
      <c r="H828">
        <v>943</v>
      </c>
      <c r="I828">
        <v>1.462904911180773</v>
      </c>
      <c r="J828">
        <v>98.537095088819228</v>
      </c>
      <c r="K828" t="str">
        <f>_xlfn.XLOOKUP(tblProduction[[#This Row],[Product]],tblProducts[Product],tblProducts[Category],"Not Found")</f>
        <v>Standard</v>
      </c>
      <c r="L828">
        <f>_xlfn.XLOOKUP(tblProduction[[#This Row],[Product]],tblProducts[Product],tblProducts[Target_Units],"Not Found")</f>
        <v>1000</v>
      </c>
    </row>
    <row r="829" spans="1:12" x14ac:dyDescent="0.3">
      <c r="A829" s="1">
        <v>46116</v>
      </c>
      <c r="B829" t="s">
        <v>9</v>
      </c>
      <c r="C829" t="s">
        <v>13</v>
      </c>
      <c r="D829" t="s">
        <v>14</v>
      </c>
      <c r="E829">
        <v>810</v>
      </c>
      <c r="F829">
        <v>26</v>
      </c>
      <c r="G829">
        <v>7</v>
      </c>
      <c r="H829">
        <v>784</v>
      </c>
      <c r="I829">
        <v>3.209876543209877</v>
      </c>
      <c r="J829">
        <v>96.790123456790127</v>
      </c>
      <c r="K829" t="str">
        <f>_xlfn.XLOOKUP(tblProduction[[#This Row],[Product]],tblProducts[Product],tblProducts[Category],"Not Found")</f>
        <v>Assembly</v>
      </c>
      <c r="L829">
        <f>_xlfn.XLOOKUP(tblProduction[[#This Row],[Product]],tblProducts[Product],tblProducts[Target_Units],"Not Found")</f>
        <v>850</v>
      </c>
    </row>
    <row r="830" spans="1:12" x14ac:dyDescent="0.3">
      <c r="A830" s="1">
        <v>46116</v>
      </c>
      <c r="B830" t="s">
        <v>15</v>
      </c>
      <c r="C830" t="s">
        <v>10</v>
      </c>
      <c r="D830" t="s">
        <v>18</v>
      </c>
      <c r="E830">
        <v>757</v>
      </c>
      <c r="F830">
        <v>18</v>
      </c>
      <c r="G830">
        <v>74</v>
      </c>
      <c r="H830">
        <v>739</v>
      </c>
      <c r="I830">
        <v>2.3778071334213999</v>
      </c>
      <c r="J830">
        <v>97.622192866578601</v>
      </c>
      <c r="K830" t="str">
        <f>_xlfn.XLOOKUP(tblProduction[[#This Row],[Product]],tblProducts[Product],tblProducts[Category],"Not Found")</f>
        <v>Assembly</v>
      </c>
      <c r="L830">
        <f>_xlfn.XLOOKUP(tblProduction[[#This Row],[Product]],tblProducts[Product],tblProducts[Target_Units],"Not Found")</f>
        <v>900</v>
      </c>
    </row>
    <row r="831" spans="1:12" x14ac:dyDescent="0.3">
      <c r="A831" s="1">
        <v>46116</v>
      </c>
      <c r="B831" t="s">
        <v>15</v>
      </c>
      <c r="C831" t="s">
        <v>12</v>
      </c>
      <c r="D831" t="s">
        <v>14</v>
      </c>
      <c r="E831">
        <v>770</v>
      </c>
      <c r="F831">
        <v>25</v>
      </c>
      <c r="G831">
        <v>2</v>
      </c>
      <c r="H831">
        <v>745</v>
      </c>
      <c r="I831">
        <v>3.2467532467532458</v>
      </c>
      <c r="J831">
        <v>96.753246753246756</v>
      </c>
      <c r="K831" t="str">
        <f>_xlfn.XLOOKUP(tblProduction[[#This Row],[Product]],tblProducts[Product],tblProducts[Category],"Not Found")</f>
        <v>Assembly</v>
      </c>
      <c r="L831">
        <f>_xlfn.XLOOKUP(tblProduction[[#This Row],[Product]],tblProducts[Product],tblProducts[Target_Units],"Not Found")</f>
        <v>850</v>
      </c>
    </row>
    <row r="832" spans="1:12" x14ac:dyDescent="0.3">
      <c r="A832" s="1">
        <v>46116</v>
      </c>
      <c r="B832" t="s">
        <v>15</v>
      </c>
      <c r="C832" t="s">
        <v>13</v>
      </c>
      <c r="D832" t="s">
        <v>16</v>
      </c>
      <c r="E832">
        <v>749</v>
      </c>
      <c r="F832">
        <v>26</v>
      </c>
      <c r="G832">
        <v>77</v>
      </c>
      <c r="H832">
        <v>723</v>
      </c>
      <c r="I832">
        <v>3.4712950600801071</v>
      </c>
      <c r="J832">
        <v>96.528704939919891</v>
      </c>
      <c r="K832" t="str">
        <f>_xlfn.XLOOKUP(tblProduction[[#This Row],[Product]],tblProducts[Product],tblProducts[Category],"Not Found")</f>
        <v>Standard</v>
      </c>
      <c r="L832">
        <f>_xlfn.XLOOKUP(tblProduction[[#This Row],[Product]],tblProducts[Product],tblProducts[Target_Units],"Not Found")</f>
        <v>1000</v>
      </c>
    </row>
    <row r="833" spans="1:12" x14ac:dyDescent="0.3">
      <c r="A833" s="1">
        <v>46116</v>
      </c>
      <c r="B833" t="s">
        <v>17</v>
      </c>
      <c r="C833" t="s">
        <v>10</v>
      </c>
      <c r="D833" t="s">
        <v>11</v>
      </c>
      <c r="E833">
        <v>827</v>
      </c>
      <c r="F833">
        <v>28</v>
      </c>
      <c r="G833">
        <v>41</v>
      </c>
      <c r="H833">
        <v>799</v>
      </c>
      <c r="I833">
        <v>3.3857315598548969</v>
      </c>
      <c r="J833">
        <v>96.614268440145096</v>
      </c>
      <c r="K833" t="str">
        <f>_xlfn.XLOOKUP(tblProduction[[#This Row],[Product]],tblProducts[Product],tblProducts[Category],"Not Found")</f>
        <v>Precision</v>
      </c>
      <c r="L833">
        <f>_xlfn.XLOOKUP(tblProduction[[#This Row],[Product]],tblProducts[Product],tblProducts[Target_Units],"Not Found")</f>
        <v>950</v>
      </c>
    </row>
    <row r="834" spans="1:12" x14ac:dyDescent="0.3">
      <c r="A834" s="1">
        <v>46116</v>
      </c>
      <c r="B834" t="s">
        <v>17</v>
      </c>
      <c r="C834" t="s">
        <v>12</v>
      </c>
      <c r="D834" t="s">
        <v>18</v>
      </c>
      <c r="E834">
        <v>656</v>
      </c>
      <c r="F834">
        <v>22</v>
      </c>
      <c r="G834">
        <v>87</v>
      </c>
      <c r="H834">
        <v>634</v>
      </c>
      <c r="I834">
        <v>3.3536585365853662</v>
      </c>
      <c r="J834">
        <v>96.646341463414629</v>
      </c>
      <c r="K834" t="str">
        <f>_xlfn.XLOOKUP(tblProduction[[#This Row],[Product]],tblProducts[Product],tblProducts[Category],"Not Found")</f>
        <v>Assembly</v>
      </c>
      <c r="L834">
        <f>_xlfn.XLOOKUP(tblProduction[[#This Row],[Product]],tblProducts[Product],tblProducts[Target_Units],"Not Found")</f>
        <v>900</v>
      </c>
    </row>
    <row r="835" spans="1:12" x14ac:dyDescent="0.3">
      <c r="A835" s="1">
        <v>46116</v>
      </c>
      <c r="B835" t="s">
        <v>17</v>
      </c>
      <c r="C835" t="s">
        <v>13</v>
      </c>
      <c r="D835" t="s">
        <v>18</v>
      </c>
      <c r="E835">
        <v>683</v>
      </c>
      <c r="F835">
        <v>30</v>
      </c>
      <c r="G835">
        <v>20</v>
      </c>
      <c r="H835">
        <v>653</v>
      </c>
      <c r="I835">
        <v>4.3923865300146412</v>
      </c>
      <c r="J835">
        <v>95.607613469985367</v>
      </c>
      <c r="K835" t="str">
        <f>_xlfn.XLOOKUP(tblProduction[[#This Row],[Product]],tblProducts[Product],tblProducts[Category],"Not Found")</f>
        <v>Assembly</v>
      </c>
      <c r="L835">
        <f>_xlfn.XLOOKUP(tblProduction[[#This Row],[Product]],tblProducts[Product],tblProducts[Target_Units],"Not Found")</f>
        <v>900</v>
      </c>
    </row>
    <row r="836" spans="1:12" x14ac:dyDescent="0.3">
      <c r="A836" s="1">
        <v>46117</v>
      </c>
      <c r="B836" t="s">
        <v>9</v>
      </c>
      <c r="C836" t="s">
        <v>10</v>
      </c>
      <c r="D836" t="s">
        <v>11</v>
      </c>
      <c r="E836">
        <v>951</v>
      </c>
      <c r="F836">
        <v>14</v>
      </c>
      <c r="G836">
        <v>77</v>
      </c>
      <c r="H836">
        <v>937</v>
      </c>
      <c r="I836">
        <v>1.4721345951629861</v>
      </c>
      <c r="J836">
        <v>98.527865404837016</v>
      </c>
      <c r="K836" t="str">
        <f>_xlfn.XLOOKUP(tblProduction[[#This Row],[Product]],tblProducts[Product],tblProducts[Category],"Not Found")</f>
        <v>Precision</v>
      </c>
      <c r="L836">
        <f>_xlfn.XLOOKUP(tblProduction[[#This Row],[Product]],tblProducts[Product],tblProducts[Target_Units],"Not Found")</f>
        <v>950</v>
      </c>
    </row>
    <row r="837" spans="1:12" x14ac:dyDescent="0.3">
      <c r="A837" s="1">
        <v>46117</v>
      </c>
      <c r="B837" t="s">
        <v>9</v>
      </c>
      <c r="C837" t="s">
        <v>12</v>
      </c>
      <c r="D837" t="s">
        <v>11</v>
      </c>
      <c r="E837">
        <v>846</v>
      </c>
      <c r="F837">
        <v>12</v>
      </c>
      <c r="G837">
        <v>63</v>
      </c>
      <c r="H837">
        <v>834</v>
      </c>
      <c r="I837">
        <v>1.418439716312057</v>
      </c>
      <c r="J837">
        <v>98.581560283687935</v>
      </c>
      <c r="K837" t="str">
        <f>_xlfn.XLOOKUP(tblProduction[[#This Row],[Product]],tblProducts[Product],tblProducts[Category],"Not Found")</f>
        <v>Precision</v>
      </c>
      <c r="L837">
        <f>_xlfn.XLOOKUP(tblProduction[[#This Row],[Product]],tblProducts[Product],tblProducts[Target_Units],"Not Found")</f>
        <v>950</v>
      </c>
    </row>
    <row r="838" spans="1:12" x14ac:dyDescent="0.3">
      <c r="A838" s="1">
        <v>46117</v>
      </c>
      <c r="B838" t="s">
        <v>9</v>
      </c>
      <c r="C838" t="s">
        <v>13</v>
      </c>
      <c r="D838" t="s">
        <v>16</v>
      </c>
      <c r="E838">
        <v>893</v>
      </c>
      <c r="F838">
        <v>22</v>
      </c>
      <c r="G838">
        <v>33</v>
      </c>
      <c r="H838">
        <v>871</v>
      </c>
      <c r="I838">
        <v>2.4636058230683089</v>
      </c>
      <c r="J838">
        <v>97.536394176931694</v>
      </c>
      <c r="K838" t="str">
        <f>_xlfn.XLOOKUP(tblProduction[[#This Row],[Product]],tblProducts[Product],tblProducts[Category],"Not Found")</f>
        <v>Standard</v>
      </c>
      <c r="L838">
        <f>_xlfn.XLOOKUP(tblProduction[[#This Row],[Product]],tblProducts[Product],tblProducts[Target_Units],"Not Found")</f>
        <v>1000</v>
      </c>
    </row>
    <row r="839" spans="1:12" x14ac:dyDescent="0.3">
      <c r="A839" s="1">
        <v>46117</v>
      </c>
      <c r="B839" t="s">
        <v>15</v>
      </c>
      <c r="C839" t="s">
        <v>10</v>
      </c>
      <c r="D839" t="s">
        <v>18</v>
      </c>
      <c r="E839">
        <v>868</v>
      </c>
      <c r="F839">
        <v>21</v>
      </c>
      <c r="G839">
        <v>34</v>
      </c>
      <c r="H839">
        <v>847</v>
      </c>
      <c r="I839">
        <v>2.419354838709677</v>
      </c>
      <c r="J839">
        <v>97.58064516129032</v>
      </c>
      <c r="K839" t="str">
        <f>_xlfn.XLOOKUP(tblProduction[[#This Row],[Product]],tblProducts[Product],tblProducts[Category],"Not Found")</f>
        <v>Assembly</v>
      </c>
      <c r="L839">
        <f>_xlfn.XLOOKUP(tblProduction[[#This Row],[Product]],tblProducts[Product],tblProducts[Target_Units],"Not Found")</f>
        <v>900</v>
      </c>
    </row>
    <row r="840" spans="1:12" x14ac:dyDescent="0.3">
      <c r="A840" s="1">
        <v>46117</v>
      </c>
      <c r="B840" t="s">
        <v>15</v>
      </c>
      <c r="C840" t="s">
        <v>12</v>
      </c>
      <c r="D840" t="s">
        <v>11</v>
      </c>
      <c r="E840">
        <v>864</v>
      </c>
      <c r="F840">
        <v>21</v>
      </c>
      <c r="G840">
        <v>28</v>
      </c>
      <c r="H840">
        <v>843</v>
      </c>
      <c r="I840">
        <v>2.4305555555555558</v>
      </c>
      <c r="J840">
        <v>97.569444444444443</v>
      </c>
      <c r="K840" t="str">
        <f>_xlfn.XLOOKUP(tblProduction[[#This Row],[Product]],tblProducts[Product],tblProducts[Category],"Not Found")</f>
        <v>Precision</v>
      </c>
      <c r="L840">
        <f>_xlfn.XLOOKUP(tblProduction[[#This Row],[Product]],tblProducts[Product],tblProducts[Target_Units],"Not Found")</f>
        <v>950</v>
      </c>
    </row>
    <row r="841" spans="1:12" x14ac:dyDescent="0.3">
      <c r="A841" s="1">
        <v>46117</v>
      </c>
      <c r="B841" t="s">
        <v>15</v>
      </c>
      <c r="C841" t="s">
        <v>13</v>
      </c>
      <c r="D841" t="s">
        <v>14</v>
      </c>
      <c r="E841">
        <v>652</v>
      </c>
      <c r="F841">
        <v>28</v>
      </c>
      <c r="G841">
        <v>72</v>
      </c>
      <c r="H841">
        <v>624</v>
      </c>
      <c r="I841">
        <v>4.294478527607362</v>
      </c>
      <c r="J841">
        <v>95.705521472392647</v>
      </c>
      <c r="K841" t="str">
        <f>_xlfn.XLOOKUP(tblProduction[[#This Row],[Product]],tblProducts[Product],tblProducts[Category],"Not Found")</f>
        <v>Assembly</v>
      </c>
      <c r="L841">
        <f>_xlfn.XLOOKUP(tblProduction[[#This Row],[Product]],tblProducts[Product],tblProducts[Target_Units],"Not Found")</f>
        <v>850</v>
      </c>
    </row>
    <row r="842" spans="1:12" x14ac:dyDescent="0.3">
      <c r="A842" s="1">
        <v>46117</v>
      </c>
      <c r="B842" t="s">
        <v>17</v>
      </c>
      <c r="C842" t="s">
        <v>10</v>
      </c>
      <c r="D842" t="s">
        <v>14</v>
      </c>
      <c r="E842">
        <v>735</v>
      </c>
      <c r="F842">
        <v>31</v>
      </c>
      <c r="G842">
        <v>37</v>
      </c>
      <c r="H842">
        <v>704</v>
      </c>
      <c r="I842">
        <v>4.2176870748299313</v>
      </c>
      <c r="J842">
        <v>95.782312925170061</v>
      </c>
      <c r="K842" t="str">
        <f>_xlfn.XLOOKUP(tblProduction[[#This Row],[Product]],tblProducts[Product],tblProducts[Category],"Not Found")</f>
        <v>Assembly</v>
      </c>
      <c r="L842">
        <f>_xlfn.XLOOKUP(tblProduction[[#This Row],[Product]],tblProducts[Product],tblProducts[Target_Units],"Not Found")</f>
        <v>850</v>
      </c>
    </row>
    <row r="843" spans="1:12" x14ac:dyDescent="0.3">
      <c r="A843" s="1">
        <v>46117</v>
      </c>
      <c r="B843" t="s">
        <v>17</v>
      </c>
      <c r="C843" t="s">
        <v>12</v>
      </c>
      <c r="D843" t="s">
        <v>18</v>
      </c>
      <c r="E843">
        <v>726</v>
      </c>
      <c r="F843">
        <v>25</v>
      </c>
      <c r="G843">
        <v>19</v>
      </c>
      <c r="H843">
        <v>701</v>
      </c>
      <c r="I843">
        <v>3.443526170798898</v>
      </c>
      <c r="J843">
        <v>96.55647382920111</v>
      </c>
      <c r="K843" t="str">
        <f>_xlfn.XLOOKUP(tblProduction[[#This Row],[Product]],tblProducts[Product],tblProducts[Category],"Not Found")</f>
        <v>Assembly</v>
      </c>
      <c r="L843">
        <f>_xlfn.XLOOKUP(tblProduction[[#This Row],[Product]],tblProducts[Product],tblProducts[Target_Units],"Not Found")</f>
        <v>900</v>
      </c>
    </row>
    <row r="844" spans="1:12" x14ac:dyDescent="0.3">
      <c r="A844" s="1">
        <v>46117</v>
      </c>
      <c r="B844" t="s">
        <v>17</v>
      </c>
      <c r="C844" t="s">
        <v>13</v>
      </c>
      <c r="D844" t="s">
        <v>14</v>
      </c>
      <c r="E844">
        <v>622</v>
      </c>
      <c r="F844">
        <v>32</v>
      </c>
      <c r="G844">
        <v>49</v>
      </c>
      <c r="H844">
        <v>590</v>
      </c>
      <c r="I844">
        <v>5.144694533762058</v>
      </c>
      <c r="J844">
        <v>94.855305466237937</v>
      </c>
      <c r="K844" t="str">
        <f>_xlfn.XLOOKUP(tblProduction[[#This Row],[Product]],tblProducts[Product],tblProducts[Category],"Not Found")</f>
        <v>Assembly</v>
      </c>
      <c r="L844">
        <f>_xlfn.XLOOKUP(tblProduction[[#This Row],[Product]],tblProducts[Product],tblProducts[Target_Units],"Not Found")</f>
        <v>850</v>
      </c>
    </row>
    <row r="845" spans="1:12" x14ac:dyDescent="0.3">
      <c r="A845" s="1">
        <v>46118</v>
      </c>
      <c r="B845" t="s">
        <v>9</v>
      </c>
      <c r="C845" t="s">
        <v>10</v>
      </c>
      <c r="D845" t="s">
        <v>14</v>
      </c>
      <c r="E845">
        <v>886</v>
      </c>
      <c r="F845">
        <v>20</v>
      </c>
      <c r="G845">
        <v>45</v>
      </c>
      <c r="H845">
        <v>866</v>
      </c>
      <c r="I845">
        <v>2.2573363431151239</v>
      </c>
      <c r="J845">
        <v>97.742663656884872</v>
      </c>
      <c r="K845" t="str">
        <f>_xlfn.XLOOKUP(tblProduction[[#This Row],[Product]],tblProducts[Product],tblProducts[Category],"Not Found")</f>
        <v>Assembly</v>
      </c>
      <c r="L845">
        <f>_xlfn.XLOOKUP(tblProduction[[#This Row],[Product]],tblProducts[Product],tblProducts[Target_Units],"Not Found")</f>
        <v>850</v>
      </c>
    </row>
    <row r="846" spans="1:12" x14ac:dyDescent="0.3">
      <c r="A846" s="1">
        <v>46118</v>
      </c>
      <c r="B846" t="s">
        <v>9</v>
      </c>
      <c r="C846" t="s">
        <v>12</v>
      </c>
      <c r="D846" t="s">
        <v>14</v>
      </c>
      <c r="E846">
        <v>839</v>
      </c>
      <c r="F846">
        <v>19</v>
      </c>
      <c r="G846">
        <v>6</v>
      </c>
      <c r="H846">
        <v>820</v>
      </c>
      <c r="I846">
        <v>2.264600715137068</v>
      </c>
      <c r="J846">
        <v>97.735399284862936</v>
      </c>
      <c r="K846" t="str">
        <f>_xlfn.XLOOKUP(tblProduction[[#This Row],[Product]],tblProducts[Product],tblProducts[Category],"Not Found")</f>
        <v>Assembly</v>
      </c>
      <c r="L846">
        <f>_xlfn.XLOOKUP(tblProduction[[#This Row],[Product]],tblProducts[Product],tblProducts[Target_Units],"Not Found")</f>
        <v>850</v>
      </c>
    </row>
    <row r="847" spans="1:12" x14ac:dyDescent="0.3">
      <c r="A847" s="1">
        <v>46118</v>
      </c>
      <c r="B847" t="s">
        <v>9</v>
      </c>
      <c r="C847" t="s">
        <v>13</v>
      </c>
      <c r="D847" t="s">
        <v>18</v>
      </c>
      <c r="E847">
        <v>811</v>
      </c>
      <c r="F847">
        <v>20</v>
      </c>
      <c r="G847">
        <v>37</v>
      </c>
      <c r="H847">
        <v>791</v>
      </c>
      <c r="I847">
        <v>2.466091245376079</v>
      </c>
      <c r="J847">
        <v>97.533908754623923</v>
      </c>
      <c r="K847" t="str">
        <f>_xlfn.XLOOKUP(tblProduction[[#This Row],[Product]],tblProducts[Product],tblProducts[Category],"Not Found")</f>
        <v>Assembly</v>
      </c>
      <c r="L847">
        <f>_xlfn.XLOOKUP(tblProduction[[#This Row],[Product]],tblProducts[Product],tblProducts[Target_Units],"Not Found")</f>
        <v>900</v>
      </c>
    </row>
    <row r="848" spans="1:12" x14ac:dyDescent="0.3">
      <c r="A848" s="1">
        <v>46118</v>
      </c>
      <c r="B848" t="s">
        <v>15</v>
      </c>
      <c r="C848" t="s">
        <v>10</v>
      </c>
      <c r="D848" t="s">
        <v>11</v>
      </c>
      <c r="E848">
        <v>775</v>
      </c>
      <c r="F848">
        <v>19</v>
      </c>
      <c r="G848">
        <v>88</v>
      </c>
      <c r="H848">
        <v>756</v>
      </c>
      <c r="I848">
        <v>2.4516129032258061</v>
      </c>
      <c r="J848">
        <v>97.548387096774192</v>
      </c>
      <c r="K848" t="str">
        <f>_xlfn.XLOOKUP(tblProduction[[#This Row],[Product]],tblProducts[Product],tblProducts[Category],"Not Found")</f>
        <v>Precision</v>
      </c>
      <c r="L848">
        <f>_xlfn.XLOOKUP(tblProduction[[#This Row],[Product]],tblProducts[Product],tblProducts[Target_Units],"Not Found")</f>
        <v>950</v>
      </c>
    </row>
    <row r="849" spans="1:12" x14ac:dyDescent="0.3">
      <c r="A849" s="1">
        <v>46118</v>
      </c>
      <c r="B849" t="s">
        <v>15</v>
      </c>
      <c r="C849" t="s">
        <v>12</v>
      </c>
      <c r="D849" t="s">
        <v>14</v>
      </c>
      <c r="E849">
        <v>772</v>
      </c>
      <c r="F849">
        <v>25</v>
      </c>
      <c r="G849">
        <v>15</v>
      </c>
      <c r="H849">
        <v>747</v>
      </c>
      <c r="I849">
        <v>3.2383419689119171</v>
      </c>
      <c r="J849">
        <v>96.761658031088089</v>
      </c>
      <c r="K849" t="str">
        <f>_xlfn.XLOOKUP(tblProduction[[#This Row],[Product]],tblProducts[Product],tblProducts[Category],"Not Found")</f>
        <v>Assembly</v>
      </c>
      <c r="L849">
        <f>_xlfn.XLOOKUP(tblProduction[[#This Row],[Product]],tblProducts[Product],tblProducts[Target_Units],"Not Found")</f>
        <v>850</v>
      </c>
    </row>
    <row r="850" spans="1:12" x14ac:dyDescent="0.3">
      <c r="A850" s="1">
        <v>46118</v>
      </c>
      <c r="B850" t="s">
        <v>15</v>
      </c>
      <c r="C850" t="s">
        <v>13</v>
      </c>
      <c r="D850" t="s">
        <v>11</v>
      </c>
      <c r="E850">
        <v>774</v>
      </c>
      <c r="F850">
        <v>27</v>
      </c>
      <c r="G850">
        <v>57</v>
      </c>
      <c r="H850">
        <v>747</v>
      </c>
      <c r="I850">
        <v>3.4883720930232558</v>
      </c>
      <c r="J850">
        <v>96.511627906976756</v>
      </c>
      <c r="K850" t="str">
        <f>_xlfn.XLOOKUP(tblProduction[[#This Row],[Product]],tblProducts[Product],tblProducts[Category],"Not Found")</f>
        <v>Precision</v>
      </c>
      <c r="L850">
        <f>_xlfn.XLOOKUP(tblProduction[[#This Row],[Product]],tblProducts[Product],tblProducts[Target_Units],"Not Found")</f>
        <v>950</v>
      </c>
    </row>
    <row r="851" spans="1:12" x14ac:dyDescent="0.3">
      <c r="A851" s="1">
        <v>46118</v>
      </c>
      <c r="B851" t="s">
        <v>17</v>
      </c>
      <c r="C851" t="s">
        <v>10</v>
      </c>
      <c r="D851" t="s">
        <v>16</v>
      </c>
      <c r="E851">
        <v>843</v>
      </c>
      <c r="F851">
        <v>29</v>
      </c>
      <c r="G851">
        <v>59</v>
      </c>
      <c r="H851">
        <v>814</v>
      </c>
      <c r="I851">
        <v>3.4400948991696318</v>
      </c>
      <c r="J851">
        <v>96.559905100830363</v>
      </c>
      <c r="K851" t="str">
        <f>_xlfn.XLOOKUP(tblProduction[[#This Row],[Product]],tblProducts[Product],tblProducts[Category],"Not Found")</f>
        <v>Standard</v>
      </c>
      <c r="L851">
        <f>_xlfn.XLOOKUP(tblProduction[[#This Row],[Product]],tblProducts[Product],tblProducts[Target_Units],"Not Found")</f>
        <v>1000</v>
      </c>
    </row>
    <row r="852" spans="1:12" x14ac:dyDescent="0.3">
      <c r="A852" s="1">
        <v>46118</v>
      </c>
      <c r="B852" t="s">
        <v>17</v>
      </c>
      <c r="C852" t="s">
        <v>12</v>
      </c>
      <c r="D852" t="s">
        <v>18</v>
      </c>
      <c r="E852">
        <v>722</v>
      </c>
      <c r="F852">
        <v>25</v>
      </c>
      <c r="G852">
        <v>44</v>
      </c>
      <c r="H852">
        <v>697</v>
      </c>
      <c r="I852">
        <v>3.4626038781163442</v>
      </c>
      <c r="J852">
        <v>96.53739612188366</v>
      </c>
      <c r="K852" t="str">
        <f>_xlfn.XLOOKUP(tblProduction[[#This Row],[Product]],tblProducts[Product],tblProducts[Category],"Not Found")</f>
        <v>Assembly</v>
      </c>
      <c r="L852">
        <f>_xlfn.XLOOKUP(tblProduction[[#This Row],[Product]],tblProducts[Product],tblProducts[Target_Units],"Not Found")</f>
        <v>900</v>
      </c>
    </row>
    <row r="853" spans="1:12" x14ac:dyDescent="0.3">
      <c r="A853" s="1">
        <v>46118</v>
      </c>
      <c r="B853" t="s">
        <v>17</v>
      </c>
      <c r="C853" t="s">
        <v>13</v>
      </c>
      <c r="D853" t="s">
        <v>18</v>
      </c>
      <c r="E853">
        <v>653</v>
      </c>
      <c r="F853">
        <v>29</v>
      </c>
      <c r="G853">
        <v>26</v>
      </c>
      <c r="H853">
        <v>624</v>
      </c>
      <c r="I853">
        <v>4.4410413476263404</v>
      </c>
      <c r="J853">
        <v>95.558958652373661</v>
      </c>
      <c r="K853" t="str">
        <f>_xlfn.XLOOKUP(tblProduction[[#This Row],[Product]],tblProducts[Product],tblProducts[Category],"Not Found")</f>
        <v>Assembly</v>
      </c>
      <c r="L853">
        <f>_xlfn.XLOOKUP(tblProduction[[#This Row],[Product]],tblProducts[Product],tblProducts[Target_Units],"Not Found")</f>
        <v>900</v>
      </c>
    </row>
    <row r="854" spans="1:12" x14ac:dyDescent="0.3">
      <c r="A854" s="1">
        <v>46119</v>
      </c>
      <c r="B854" t="s">
        <v>9</v>
      </c>
      <c r="C854" t="s">
        <v>10</v>
      </c>
      <c r="D854" t="s">
        <v>16</v>
      </c>
      <c r="E854">
        <v>1034</v>
      </c>
      <c r="F854">
        <v>15</v>
      </c>
      <c r="G854">
        <v>61</v>
      </c>
      <c r="H854">
        <v>1019</v>
      </c>
      <c r="I854">
        <v>1.4506769825918759</v>
      </c>
      <c r="J854">
        <v>98.549323017408113</v>
      </c>
      <c r="K854" t="str">
        <f>_xlfn.XLOOKUP(tblProduction[[#This Row],[Product]],tblProducts[Product],tblProducts[Category],"Not Found")</f>
        <v>Standard</v>
      </c>
      <c r="L854">
        <f>_xlfn.XLOOKUP(tblProduction[[#This Row],[Product]],tblProducts[Product],tblProducts[Target_Units],"Not Found")</f>
        <v>1000</v>
      </c>
    </row>
    <row r="855" spans="1:12" x14ac:dyDescent="0.3">
      <c r="A855" s="1">
        <v>46119</v>
      </c>
      <c r="B855" t="s">
        <v>9</v>
      </c>
      <c r="C855" t="s">
        <v>12</v>
      </c>
      <c r="D855" t="s">
        <v>18</v>
      </c>
      <c r="E855">
        <v>856</v>
      </c>
      <c r="F855">
        <v>12</v>
      </c>
      <c r="G855">
        <v>66</v>
      </c>
      <c r="H855">
        <v>844</v>
      </c>
      <c r="I855">
        <v>1.4018691588785051</v>
      </c>
      <c r="J855">
        <v>98.598130841121502</v>
      </c>
      <c r="K855" t="str">
        <f>_xlfn.XLOOKUP(tblProduction[[#This Row],[Product]],tblProducts[Product],tblProducts[Category],"Not Found")</f>
        <v>Assembly</v>
      </c>
      <c r="L855">
        <f>_xlfn.XLOOKUP(tblProduction[[#This Row],[Product]],tblProducts[Product],tblProducts[Target_Units],"Not Found")</f>
        <v>900</v>
      </c>
    </row>
    <row r="856" spans="1:12" x14ac:dyDescent="0.3">
      <c r="A856" s="1">
        <v>46119</v>
      </c>
      <c r="B856" t="s">
        <v>9</v>
      </c>
      <c r="C856" t="s">
        <v>13</v>
      </c>
      <c r="D856" t="s">
        <v>16</v>
      </c>
      <c r="E856">
        <v>901</v>
      </c>
      <c r="F856">
        <v>22</v>
      </c>
      <c r="G856">
        <v>28</v>
      </c>
      <c r="H856">
        <v>879</v>
      </c>
      <c r="I856">
        <v>2.4417314095449498</v>
      </c>
      <c r="J856">
        <v>97.558268590455057</v>
      </c>
      <c r="K856" t="str">
        <f>_xlfn.XLOOKUP(tblProduction[[#This Row],[Product]],tblProducts[Product],tblProducts[Category],"Not Found")</f>
        <v>Standard</v>
      </c>
      <c r="L856">
        <f>_xlfn.XLOOKUP(tblProduction[[#This Row],[Product]],tblProducts[Product],tblProducts[Target_Units],"Not Found")</f>
        <v>1000</v>
      </c>
    </row>
    <row r="857" spans="1:12" x14ac:dyDescent="0.3">
      <c r="A857" s="1">
        <v>46119</v>
      </c>
      <c r="B857" t="s">
        <v>15</v>
      </c>
      <c r="C857" t="s">
        <v>10</v>
      </c>
      <c r="D857" t="s">
        <v>16</v>
      </c>
      <c r="E857">
        <v>887</v>
      </c>
      <c r="F857">
        <v>22</v>
      </c>
      <c r="G857">
        <v>80</v>
      </c>
      <c r="H857">
        <v>865</v>
      </c>
      <c r="I857">
        <v>2.480270574971815</v>
      </c>
      <c r="J857">
        <v>97.519729425028189</v>
      </c>
      <c r="K857" t="str">
        <f>_xlfn.XLOOKUP(tblProduction[[#This Row],[Product]],tblProducts[Product],tblProducts[Category],"Not Found")</f>
        <v>Standard</v>
      </c>
      <c r="L857">
        <f>_xlfn.XLOOKUP(tblProduction[[#This Row],[Product]],tblProducts[Product],tblProducts[Target_Units],"Not Found")</f>
        <v>1000</v>
      </c>
    </row>
    <row r="858" spans="1:12" x14ac:dyDescent="0.3">
      <c r="A858" s="1">
        <v>46119</v>
      </c>
      <c r="B858" t="s">
        <v>15</v>
      </c>
      <c r="C858" t="s">
        <v>12</v>
      </c>
      <c r="D858" t="s">
        <v>14</v>
      </c>
      <c r="E858">
        <v>729</v>
      </c>
      <c r="F858">
        <v>24</v>
      </c>
      <c r="G858">
        <v>71</v>
      </c>
      <c r="H858">
        <v>705</v>
      </c>
      <c r="I858">
        <v>3.2921810699588478</v>
      </c>
      <c r="J858">
        <v>96.707818930041157</v>
      </c>
      <c r="K858" t="str">
        <f>_xlfn.XLOOKUP(tblProduction[[#This Row],[Product]],tblProducts[Product],tblProducts[Category],"Not Found")</f>
        <v>Assembly</v>
      </c>
      <c r="L858">
        <f>_xlfn.XLOOKUP(tblProduction[[#This Row],[Product]],tblProducts[Product],tblProducts[Target_Units],"Not Found")</f>
        <v>850</v>
      </c>
    </row>
    <row r="859" spans="1:12" x14ac:dyDescent="0.3">
      <c r="A859" s="1">
        <v>46119</v>
      </c>
      <c r="B859" t="s">
        <v>15</v>
      </c>
      <c r="C859" t="s">
        <v>13</v>
      </c>
      <c r="D859" t="s">
        <v>18</v>
      </c>
      <c r="E859">
        <v>776</v>
      </c>
      <c r="F859">
        <v>27</v>
      </c>
      <c r="G859">
        <v>34</v>
      </c>
      <c r="H859">
        <v>749</v>
      </c>
      <c r="I859">
        <v>3.4793814432989691</v>
      </c>
      <c r="J859">
        <v>96.520618556701038</v>
      </c>
      <c r="K859" t="str">
        <f>_xlfn.XLOOKUP(tblProduction[[#This Row],[Product]],tblProducts[Product],tblProducts[Category],"Not Found")</f>
        <v>Assembly</v>
      </c>
      <c r="L859">
        <f>_xlfn.XLOOKUP(tblProduction[[#This Row],[Product]],tblProducts[Product],tblProducts[Target_Units],"Not Found")</f>
        <v>900</v>
      </c>
    </row>
    <row r="860" spans="1:12" x14ac:dyDescent="0.3">
      <c r="A860" s="1">
        <v>46119</v>
      </c>
      <c r="B860" t="s">
        <v>17</v>
      </c>
      <c r="C860" t="s">
        <v>10</v>
      </c>
      <c r="D860" t="s">
        <v>18</v>
      </c>
      <c r="E860">
        <v>728</v>
      </c>
      <c r="F860">
        <v>25</v>
      </c>
      <c r="G860">
        <v>60</v>
      </c>
      <c r="H860">
        <v>703</v>
      </c>
      <c r="I860">
        <v>3.4340659340659339</v>
      </c>
      <c r="J860">
        <v>96.565934065934073</v>
      </c>
      <c r="K860" t="str">
        <f>_xlfn.XLOOKUP(tblProduction[[#This Row],[Product]],tblProducts[Product],tblProducts[Category],"Not Found")</f>
        <v>Assembly</v>
      </c>
      <c r="L860">
        <f>_xlfn.XLOOKUP(tblProduction[[#This Row],[Product]],tblProducts[Product],tblProducts[Target_Units],"Not Found")</f>
        <v>900</v>
      </c>
    </row>
    <row r="861" spans="1:12" x14ac:dyDescent="0.3">
      <c r="A861" s="1">
        <v>46119</v>
      </c>
      <c r="B861" t="s">
        <v>17</v>
      </c>
      <c r="C861" t="s">
        <v>12</v>
      </c>
      <c r="D861" t="s">
        <v>14</v>
      </c>
      <c r="E861">
        <v>739</v>
      </c>
      <c r="F861">
        <v>31</v>
      </c>
      <c r="G861">
        <v>15</v>
      </c>
      <c r="H861">
        <v>708</v>
      </c>
      <c r="I861">
        <v>4.1948579161028423</v>
      </c>
      <c r="J861">
        <v>95.805142083897152</v>
      </c>
      <c r="K861" t="str">
        <f>_xlfn.XLOOKUP(tblProduction[[#This Row],[Product]],tblProducts[Product],tblProducts[Category],"Not Found")</f>
        <v>Assembly</v>
      </c>
      <c r="L861">
        <f>_xlfn.XLOOKUP(tblProduction[[#This Row],[Product]],tblProducts[Product],tblProducts[Target_Units],"Not Found")</f>
        <v>850</v>
      </c>
    </row>
    <row r="862" spans="1:12" x14ac:dyDescent="0.3">
      <c r="A862" s="1">
        <v>46119</v>
      </c>
      <c r="B862" t="s">
        <v>17</v>
      </c>
      <c r="C862" t="s">
        <v>13</v>
      </c>
      <c r="D862" t="s">
        <v>11</v>
      </c>
      <c r="E862">
        <v>753</v>
      </c>
      <c r="F862">
        <v>33</v>
      </c>
      <c r="G862">
        <v>21</v>
      </c>
      <c r="H862">
        <v>720</v>
      </c>
      <c r="I862">
        <v>4.3824701195219129</v>
      </c>
      <c r="J862">
        <v>95.617529880478088</v>
      </c>
      <c r="K862" t="str">
        <f>_xlfn.XLOOKUP(tblProduction[[#This Row],[Product]],tblProducts[Product],tblProducts[Category],"Not Found")</f>
        <v>Precision</v>
      </c>
      <c r="L862">
        <f>_xlfn.XLOOKUP(tblProduction[[#This Row],[Product]],tblProducts[Product],tblProducts[Target_Units],"Not Found")</f>
        <v>950</v>
      </c>
    </row>
    <row r="863" spans="1:12" x14ac:dyDescent="0.3">
      <c r="A863" s="1">
        <v>46120</v>
      </c>
      <c r="B863" t="s">
        <v>9</v>
      </c>
      <c r="C863" t="s">
        <v>10</v>
      </c>
      <c r="D863" t="s">
        <v>14</v>
      </c>
      <c r="E863">
        <v>861</v>
      </c>
      <c r="F863">
        <v>19</v>
      </c>
      <c r="G863">
        <v>57</v>
      </c>
      <c r="H863">
        <v>842</v>
      </c>
      <c r="I863">
        <v>2.206736353077817</v>
      </c>
      <c r="J863">
        <v>97.793263646922185</v>
      </c>
      <c r="K863" t="str">
        <f>_xlfn.XLOOKUP(tblProduction[[#This Row],[Product]],tblProducts[Product],tblProducts[Category],"Not Found")</f>
        <v>Assembly</v>
      </c>
      <c r="L863">
        <f>_xlfn.XLOOKUP(tblProduction[[#This Row],[Product]],tblProducts[Product],tblProducts[Target_Units],"Not Found")</f>
        <v>850</v>
      </c>
    </row>
    <row r="864" spans="1:12" x14ac:dyDescent="0.3">
      <c r="A864" s="1">
        <v>46120</v>
      </c>
      <c r="B864" t="s">
        <v>9</v>
      </c>
      <c r="C864" t="s">
        <v>12</v>
      </c>
      <c r="D864" t="s">
        <v>18</v>
      </c>
      <c r="E864">
        <v>827</v>
      </c>
      <c r="F864">
        <v>12</v>
      </c>
      <c r="G864">
        <v>90</v>
      </c>
      <c r="H864">
        <v>815</v>
      </c>
      <c r="I864">
        <v>1.451027811366385</v>
      </c>
      <c r="J864">
        <v>98.548972188633613</v>
      </c>
      <c r="K864" t="str">
        <f>_xlfn.XLOOKUP(tblProduction[[#This Row],[Product]],tblProducts[Product],tblProducts[Category],"Not Found")</f>
        <v>Assembly</v>
      </c>
      <c r="L864">
        <f>_xlfn.XLOOKUP(tblProduction[[#This Row],[Product]],tblProducts[Product],tblProducts[Target_Units],"Not Found")</f>
        <v>900</v>
      </c>
    </row>
    <row r="865" spans="1:12" x14ac:dyDescent="0.3">
      <c r="A865" s="1">
        <v>46120</v>
      </c>
      <c r="B865" t="s">
        <v>9</v>
      </c>
      <c r="C865" t="s">
        <v>13</v>
      </c>
      <c r="D865" t="s">
        <v>14</v>
      </c>
      <c r="E865">
        <v>710</v>
      </c>
      <c r="F865">
        <v>23</v>
      </c>
      <c r="G865">
        <v>81</v>
      </c>
      <c r="H865">
        <v>687</v>
      </c>
      <c r="I865">
        <v>3.23943661971831</v>
      </c>
      <c r="J865">
        <v>96.760563380281695</v>
      </c>
      <c r="K865" t="str">
        <f>_xlfn.XLOOKUP(tblProduction[[#This Row],[Product]],tblProducts[Product],tblProducts[Category],"Not Found")</f>
        <v>Assembly</v>
      </c>
      <c r="L865">
        <f>_xlfn.XLOOKUP(tblProduction[[#This Row],[Product]],tblProducts[Product],tblProducts[Target_Units],"Not Found")</f>
        <v>850</v>
      </c>
    </row>
    <row r="866" spans="1:12" x14ac:dyDescent="0.3">
      <c r="A866" s="1">
        <v>46120</v>
      </c>
      <c r="B866" t="s">
        <v>15</v>
      </c>
      <c r="C866" t="s">
        <v>10</v>
      </c>
      <c r="D866" t="s">
        <v>14</v>
      </c>
      <c r="E866">
        <v>840</v>
      </c>
      <c r="F866">
        <v>27</v>
      </c>
      <c r="G866">
        <v>28</v>
      </c>
      <c r="H866">
        <v>813</v>
      </c>
      <c r="I866">
        <v>3.214285714285714</v>
      </c>
      <c r="J866">
        <v>96.785714285714292</v>
      </c>
      <c r="K866" t="str">
        <f>_xlfn.XLOOKUP(tblProduction[[#This Row],[Product]],tblProducts[Product],tblProducts[Category],"Not Found")</f>
        <v>Assembly</v>
      </c>
      <c r="L866">
        <f>_xlfn.XLOOKUP(tblProduction[[#This Row],[Product]],tblProducts[Product],tblProducts[Target_Units],"Not Found")</f>
        <v>850</v>
      </c>
    </row>
    <row r="867" spans="1:12" x14ac:dyDescent="0.3">
      <c r="A867" s="1">
        <v>46120</v>
      </c>
      <c r="B867" t="s">
        <v>15</v>
      </c>
      <c r="C867" t="s">
        <v>12</v>
      </c>
      <c r="D867" t="s">
        <v>14</v>
      </c>
      <c r="E867">
        <v>817</v>
      </c>
      <c r="F867">
        <v>26</v>
      </c>
      <c r="G867">
        <v>9</v>
      </c>
      <c r="H867">
        <v>791</v>
      </c>
      <c r="I867">
        <v>3.1823745410036719</v>
      </c>
      <c r="J867">
        <v>96.817625458996332</v>
      </c>
      <c r="K867" t="str">
        <f>_xlfn.XLOOKUP(tblProduction[[#This Row],[Product]],tblProducts[Product],tblProducts[Category],"Not Found")</f>
        <v>Assembly</v>
      </c>
      <c r="L867">
        <f>_xlfn.XLOOKUP(tblProduction[[#This Row],[Product]],tblProducts[Product],tblProducts[Target_Units],"Not Found")</f>
        <v>850</v>
      </c>
    </row>
    <row r="868" spans="1:12" x14ac:dyDescent="0.3">
      <c r="A868" s="1">
        <v>46120</v>
      </c>
      <c r="B868" t="s">
        <v>15</v>
      </c>
      <c r="C868" t="s">
        <v>13</v>
      </c>
      <c r="D868" t="s">
        <v>14</v>
      </c>
      <c r="E868">
        <v>706</v>
      </c>
      <c r="F868">
        <v>30</v>
      </c>
      <c r="G868">
        <v>16</v>
      </c>
      <c r="H868">
        <v>676</v>
      </c>
      <c r="I868">
        <v>4.2492917847025504</v>
      </c>
      <c r="J868">
        <v>95.75070821529745</v>
      </c>
      <c r="K868" t="str">
        <f>_xlfn.XLOOKUP(tblProduction[[#This Row],[Product]],tblProducts[Product],tblProducts[Category],"Not Found")</f>
        <v>Assembly</v>
      </c>
      <c r="L868">
        <f>_xlfn.XLOOKUP(tblProduction[[#This Row],[Product]],tblProducts[Product],tblProducts[Target_Units],"Not Found")</f>
        <v>850</v>
      </c>
    </row>
    <row r="869" spans="1:12" x14ac:dyDescent="0.3">
      <c r="A869" s="1">
        <v>46120</v>
      </c>
      <c r="B869" t="s">
        <v>17</v>
      </c>
      <c r="C869" t="s">
        <v>10</v>
      </c>
      <c r="D869" t="s">
        <v>16</v>
      </c>
      <c r="E869">
        <v>822</v>
      </c>
      <c r="F869">
        <v>28</v>
      </c>
      <c r="G869">
        <v>76</v>
      </c>
      <c r="H869">
        <v>794</v>
      </c>
      <c r="I869">
        <v>3.4063260340632602</v>
      </c>
      <c r="J869">
        <v>96.593673965936745</v>
      </c>
      <c r="K869" t="str">
        <f>_xlfn.XLOOKUP(tblProduction[[#This Row],[Product]],tblProducts[Product],tblProducts[Category],"Not Found")</f>
        <v>Standard</v>
      </c>
      <c r="L869">
        <f>_xlfn.XLOOKUP(tblProduction[[#This Row],[Product]],tblProducts[Product],tblProducts[Target_Units],"Not Found")</f>
        <v>1000</v>
      </c>
    </row>
    <row r="870" spans="1:12" x14ac:dyDescent="0.3">
      <c r="A870" s="1">
        <v>46120</v>
      </c>
      <c r="B870" t="s">
        <v>17</v>
      </c>
      <c r="C870" t="s">
        <v>12</v>
      </c>
      <c r="D870" t="s">
        <v>18</v>
      </c>
      <c r="E870">
        <v>700</v>
      </c>
      <c r="F870">
        <v>24</v>
      </c>
      <c r="G870">
        <v>72</v>
      </c>
      <c r="H870">
        <v>676</v>
      </c>
      <c r="I870">
        <v>3.4285714285714288</v>
      </c>
      <c r="J870">
        <v>96.571428571428569</v>
      </c>
      <c r="K870" t="str">
        <f>_xlfn.XLOOKUP(tblProduction[[#This Row],[Product]],tblProducts[Product],tblProducts[Category],"Not Found")</f>
        <v>Assembly</v>
      </c>
      <c r="L870">
        <f>_xlfn.XLOOKUP(tblProduction[[#This Row],[Product]],tblProducts[Product],tblProducts[Target_Units],"Not Found")</f>
        <v>900</v>
      </c>
    </row>
    <row r="871" spans="1:12" x14ac:dyDescent="0.3">
      <c r="A871" s="1">
        <v>46120</v>
      </c>
      <c r="B871" t="s">
        <v>17</v>
      </c>
      <c r="C871" t="s">
        <v>13</v>
      </c>
      <c r="D871" t="s">
        <v>11</v>
      </c>
      <c r="E871">
        <v>674</v>
      </c>
      <c r="F871">
        <v>30</v>
      </c>
      <c r="G871">
        <v>43</v>
      </c>
      <c r="H871">
        <v>644</v>
      </c>
      <c r="I871">
        <v>4.4510385756676563</v>
      </c>
      <c r="J871">
        <v>95.548961424332347</v>
      </c>
      <c r="K871" t="str">
        <f>_xlfn.XLOOKUP(tblProduction[[#This Row],[Product]],tblProducts[Product],tblProducts[Category],"Not Found")</f>
        <v>Precision</v>
      </c>
      <c r="L871">
        <f>_xlfn.XLOOKUP(tblProduction[[#This Row],[Product]],tblProducts[Product],tblProducts[Target_Units],"Not Found")</f>
        <v>950</v>
      </c>
    </row>
    <row r="872" spans="1:12" x14ac:dyDescent="0.3">
      <c r="A872" s="1">
        <v>46121</v>
      </c>
      <c r="B872" t="s">
        <v>9</v>
      </c>
      <c r="C872" t="s">
        <v>10</v>
      </c>
      <c r="D872" t="s">
        <v>18</v>
      </c>
      <c r="E872">
        <v>916</v>
      </c>
      <c r="F872">
        <v>13</v>
      </c>
      <c r="G872">
        <v>39</v>
      </c>
      <c r="H872">
        <v>903</v>
      </c>
      <c r="I872">
        <v>1.4192139737991269</v>
      </c>
      <c r="J872">
        <v>98.580786026200869</v>
      </c>
      <c r="K872" t="str">
        <f>_xlfn.XLOOKUP(tblProduction[[#This Row],[Product]],tblProducts[Product],tblProducts[Category],"Not Found")</f>
        <v>Assembly</v>
      </c>
      <c r="L872">
        <f>_xlfn.XLOOKUP(tblProduction[[#This Row],[Product]],tblProducts[Product],tblProducts[Target_Units],"Not Found")</f>
        <v>900</v>
      </c>
    </row>
    <row r="873" spans="1:12" x14ac:dyDescent="0.3">
      <c r="A873" s="1">
        <v>46121</v>
      </c>
      <c r="B873" t="s">
        <v>9</v>
      </c>
      <c r="C873" t="s">
        <v>12</v>
      </c>
      <c r="D873" t="s">
        <v>18</v>
      </c>
      <c r="E873">
        <v>884</v>
      </c>
      <c r="F873">
        <v>13</v>
      </c>
      <c r="G873">
        <v>20</v>
      </c>
      <c r="H873">
        <v>871</v>
      </c>
      <c r="I873">
        <v>1.470588235294118</v>
      </c>
      <c r="J873">
        <v>98.529411764705884</v>
      </c>
      <c r="K873" t="str">
        <f>_xlfn.XLOOKUP(tblProduction[[#This Row],[Product]],tblProducts[Product],tblProducts[Category],"Not Found")</f>
        <v>Assembly</v>
      </c>
      <c r="L873">
        <f>_xlfn.XLOOKUP(tblProduction[[#This Row],[Product]],tblProducts[Product],tblProducts[Target_Units],"Not Found")</f>
        <v>900</v>
      </c>
    </row>
    <row r="874" spans="1:12" x14ac:dyDescent="0.3">
      <c r="A874" s="1">
        <v>46121</v>
      </c>
      <c r="B874" t="s">
        <v>9</v>
      </c>
      <c r="C874" t="s">
        <v>13</v>
      </c>
      <c r="D874" t="s">
        <v>11</v>
      </c>
      <c r="E874">
        <v>853</v>
      </c>
      <c r="F874">
        <v>21</v>
      </c>
      <c r="G874">
        <v>37</v>
      </c>
      <c r="H874">
        <v>832</v>
      </c>
      <c r="I874">
        <v>2.4618991793669398</v>
      </c>
      <c r="J874">
        <v>97.538100820633062</v>
      </c>
      <c r="K874" t="str">
        <f>_xlfn.XLOOKUP(tblProduction[[#This Row],[Product]],tblProducts[Product],tblProducts[Category],"Not Found")</f>
        <v>Precision</v>
      </c>
      <c r="L874">
        <f>_xlfn.XLOOKUP(tblProduction[[#This Row],[Product]],tblProducts[Product],tblProducts[Target_Units],"Not Found")</f>
        <v>950</v>
      </c>
    </row>
    <row r="875" spans="1:12" x14ac:dyDescent="0.3">
      <c r="A875" s="1">
        <v>46121</v>
      </c>
      <c r="B875" t="s">
        <v>15</v>
      </c>
      <c r="C875" t="s">
        <v>10</v>
      </c>
      <c r="D875" t="s">
        <v>14</v>
      </c>
      <c r="E875">
        <v>775</v>
      </c>
      <c r="F875">
        <v>25</v>
      </c>
      <c r="G875">
        <v>51</v>
      </c>
      <c r="H875">
        <v>750</v>
      </c>
      <c r="I875">
        <v>3.225806451612903</v>
      </c>
      <c r="J875">
        <v>96.774193548387103</v>
      </c>
      <c r="K875" t="str">
        <f>_xlfn.XLOOKUP(tblProduction[[#This Row],[Product]],tblProducts[Product],tblProducts[Category],"Not Found")</f>
        <v>Assembly</v>
      </c>
      <c r="L875">
        <f>_xlfn.XLOOKUP(tblProduction[[#This Row],[Product]],tblProducts[Product],tblProducts[Target_Units],"Not Found")</f>
        <v>850</v>
      </c>
    </row>
    <row r="876" spans="1:12" x14ac:dyDescent="0.3">
      <c r="A876" s="1">
        <v>46121</v>
      </c>
      <c r="B876" t="s">
        <v>15</v>
      </c>
      <c r="C876" t="s">
        <v>12</v>
      </c>
      <c r="D876" t="s">
        <v>14</v>
      </c>
      <c r="E876">
        <v>692</v>
      </c>
      <c r="F876">
        <v>22</v>
      </c>
      <c r="G876">
        <v>73</v>
      </c>
      <c r="H876">
        <v>670</v>
      </c>
      <c r="I876">
        <v>3.1791907514450859</v>
      </c>
      <c r="J876">
        <v>96.820809248554923</v>
      </c>
      <c r="K876" t="str">
        <f>_xlfn.XLOOKUP(tblProduction[[#This Row],[Product]],tblProducts[Product],tblProducts[Category],"Not Found")</f>
        <v>Assembly</v>
      </c>
      <c r="L876">
        <f>_xlfn.XLOOKUP(tblProduction[[#This Row],[Product]],tblProducts[Product],tblProducts[Target_Units],"Not Found")</f>
        <v>850</v>
      </c>
    </row>
    <row r="877" spans="1:12" x14ac:dyDescent="0.3">
      <c r="A877" s="1">
        <v>46121</v>
      </c>
      <c r="B877" t="s">
        <v>15</v>
      </c>
      <c r="C877" t="s">
        <v>13</v>
      </c>
      <c r="D877" t="s">
        <v>11</v>
      </c>
      <c r="E877">
        <v>696</v>
      </c>
      <c r="F877">
        <v>24</v>
      </c>
      <c r="G877">
        <v>88</v>
      </c>
      <c r="H877">
        <v>672</v>
      </c>
      <c r="I877">
        <v>3.4482758620689649</v>
      </c>
      <c r="J877">
        <v>96.551724137931032</v>
      </c>
      <c r="K877" t="str">
        <f>_xlfn.XLOOKUP(tblProduction[[#This Row],[Product]],tblProducts[Product],tblProducts[Category],"Not Found")</f>
        <v>Precision</v>
      </c>
      <c r="L877">
        <f>_xlfn.XLOOKUP(tblProduction[[#This Row],[Product]],tblProducts[Product],tblProducts[Target_Units],"Not Found")</f>
        <v>950</v>
      </c>
    </row>
    <row r="878" spans="1:12" x14ac:dyDescent="0.3">
      <c r="A878" s="1">
        <v>46121</v>
      </c>
      <c r="B878" t="s">
        <v>17</v>
      </c>
      <c r="C878" t="s">
        <v>10</v>
      </c>
      <c r="D878" t="s">
        <v>14</v>
      </c>
      <c r="E878">
        <v>652</v>
      </c>
      <c r="F878">
        <v>28</v>
      </c>
      <c r="G878">
        <v>78</v>
      </c>
      <c r="H878">
        <v>624</v>
      </c>
      <c r="I878">
        <v>4.294478527607362</v>
      </c>
      <c r="J878">
        <v>95.705521472392647</v>
      </c>
      <c r="K878" t="str">
        <f>_xlfn.XLOOKUP(tblProduction[[#This Row],[Product]],tblProducts[Product],tblProducts[Category],"Not Found")</f>
        <v>Assembly</v>
      </c>
      <c r="L878">
        <f>_xlfn.XLOOKUP(tblProduction[[#This Row],[Product]],tblProducts[Product],tblProducts[Target_Units],"Not Found")</f>
        <v>850</v>
      </c>
    </row>
    <row r="879" spans="1:12" x14ac:dyDescent="0.3">
      <c r="A879" s="1">
        <v>46121</v>
      </c>
      <c r="B879" t="s">
        <v>17</v>
      </c>
      <c r="C879" t="s">
        <v>12</v>
      </c>
      <c r="D879" t="s">
        <v>14</v>
      </c>
      <c r="E879">
        <v>742</v>
      </c>
      <c r="F879">
        <v>31</v>
      </c>
      <c r="G879">
        <v>7</v>
      </c>
      <c r="H879">
        <v>711</v>
      </c>
      <c r="I879">
        <v>4.177897574123989</v>
      </c>
      <c r="J879">
        <v>95.822102425876011</v>
      </c>
      <c r="K879" t="str">
        <f>_xlfn.XLOOKUP(tblProduction[[#This Row],[Product]],tblProducts[Product],tblProducts[Category],"Not Found")</f>
        <v>Assembly</v>
      </c>
      <c r="L879">
        <f>_xlfn.XLOOKUP(tblProduction[[#This Row],[Product]],tblProducts[Product],tblProducts[Target_Units],"Not Found")</f>
        <v>850</v>
      </c>
    </row>
    <row r="880" spans="1:12" x14ac:dyDescent="0.3">
      <c r="A880" s="1">
        <v>46121</v>
      </c>
      <c r="B880" t="s">
        <v>17</v>
      </c>
      <c r="C880" t="s">
        <v>13</v>
      </c>
      <c r="D880" t="s">
        <v>11</v>
      </c>
      <c r="E880">
        <v>722</v>
      </c>
      <c r="F880">
        <v>32</v>
      </c>
      <c r="G880">
        <v>32</v>
      </c>
      <c r="H880">
        <v>690</v>
      </c>
      <c r="I880">
        <v>4.43213296398892</v>
      </c>
      <c r="J880">
        <v>95.56786703601108</v>
      </c>
      <c r="K880" t="str">
        <f>_xlfn.XLOOKUP(tblProduction[[#This Row],[Product]],tblProducts[Product],tblProducts[Category],"Not Found")</f>
        <v>Precision</v>
      </c>
      <c r="L880">
        <f>_xlfn.XLOOKUP(tblProduction[[#This Row],[Product]],tblProducts[Product],tblProducts[Target_Units],"Not Found")</f>
        <v>950</v>
      </c>
    </row>
    <row r="881" spans="1:12" x14ac:dyDescent="0.3">
      <c r="A881" s="1">
        <v>46122</v>
      </c>
      <c r="B881" t="s">
        <v>9</v>
      </c>
      <c r="C881" t="s">
        <v>10</v>
      </c>
      <c r="D881" t="s">
        <v>16</v>
      </c>
      <c r="E881">
        <v>1017</v>
      </c>
      <c r="F881">
        <v>15</v>
      </c>
      <c r="G881">
        <v>35</v>
      </c>
      <c r="H881">
        <v>1002</v>
      </c>
      <c r="I881">
        <v>1.474926253687316</v>
      </c>
      <c r="J881">
        <v>98.525073746312685</v>
      </c>
      <c r="K881" t="str">
        <f>_xlfn.XLOOKUP(tblProduction[[#This Row],[Product]],tblProducts[Product],tblProducts[Category],"Not Found")</f>
        <v>Standard</v>
      </c>
      <c r="L881">
        <f>_xlfn.XLOOKUP(tblProduction[[#This Row],[Product]],tblProducts[Product],tblProducts[Target_Units],"Not Found")</f>
        <v>1000</v>
      </c>
    </row>
    <row r="882" spans="1:12" x14ac:dyDescent="0.3">
      <c r="A882" s="1">
        <v>46122</v>
      </c>
      <c r="B882" t="s">
        <v>9</v>
      </c>
      <c r="C882" t="s">
        <v>12</v>
      </c>
      <c r="D882" t="s">
        <v>18</v>
      </c>
      <c r="E882">
        <v>869</v>
      </c>
      <c r="F882">
        <v>13</v>
      </c>
      <c r="G882">
        <v>67</v>
      </c>
      <c r="H882">
        <v>856</v>
      </c>
      <c r="I882">
        <v>1.4959723820483311</v>
      </c>
      <c r="J882">
        <v>98.504027617951678</v>
      </c>
      <c r="K882" t="str">
        <f>_xlfn.XLOOKUP(tblProduction[[#This Row],[Product]],tblProducts[Product],tblProducts[Category],"Not Found")</f>
        <v>Assembly</v>
      </c>
      <c r="L882">
        <f>_xlfn.XLOOKUP(tblProduction[[#This Row],[Product]],tblProducts[Product],tblProducts[Target_Units],"Not Found")</f>
        <v>900</v>
      </c>
    </row>
    <row r="883" spans="1:12" x14ac:dyDescent="0.3">
      <c r="A883" s="1">
        <v>46122</v>
      </c>
      <c r="B883" t="s">
        <v>9</v>
      </c>
      <c r="C883" t="s">
        <v>13</v>
      </c>
      <c r="D883" t="s">
        <v>11</v>
      </c>
      <c r="E883">
        <v>877</v>
      </c>
      <c r="F883">
        <v>21</v>
      </c>
      <c r="G883">
        <v>46</v>
      </c>
      <c r="H883">
        <v>856</v>
      </c>
      <c r="I883">
        <v>2.3945267958950969</v>
      </c>
      <c r="J883">
        <v>97.605473204104896</v>
      </c>
      <c r="K883" t="str">
        <f>_xlfn.XLOOKUP(tblProduction[[#This Row],[Product]],tblProducts[Product],tblProducts[Category],"Not Found")</f>
        <v>Precision</v>
      </c>
      <c r="L883">
        <f>_xlfn.XLOOKUP(tblProduction[[#This Row],[Product]],tblProducts[Product],tblProducts[Target_Units],"Not Found")</f>
        <v>950</v>
      </c>
    </row>
    <row r="884" spans="1:12" x14ac:dyDescent="0.3">
      <c r="A884" s="1">
        <v>46122</v>
      </c>
      <c r="B884" t="s">
        <v>15</v>
      </c>
      <c r="C884" t="s">
        <v>10</v>
      </c>
      <c r="D884" t="s">
        <v>11</v>
      </c>
      <c r="E884">
        <v>916</v>
      </c>
      <c r="F884">
        <v>22</v>
      </c>
      <c r="G884">
        <v>5</v>
      </c>
      <c r="H884">
        <v>894</v>
      </c>
      <c r="I884">
        <v>2.4017467248908302</v>
      </c>
      <c r="J884">
        <v>97.598253275109172</v>
      </c>
      <c r="K884" t="str">
        <f>_xlfn.XLOOKUP(tblProduction[[#This Row],[Product]],tblProducts[Product],tblProducts[Category],"Not Found")</f>
        <v>Precision</v>
      </c>
      <c r="L884">
        <f>_xlfn.XLOOKUP(tblProduction[[#This Row],[Product]],tblProducts[Product],tblProducts[Target_Units],"Not Found")</f>
        <v>950</v>
      </c>
    </row>
    <row r="885" spans="1:12" x14ac:dyDescent="0.3">
      <c r="A885" s="1">
        <v>46122</v>
      </c>
      <c r="B885" t="s">
        <v>15</v>
      </c>
      <c r="C885" t="s">
        <v>12</v>
      </c>
      <c r="D885" t="s">
        <v>18</v>
      </c>
      <c r="E885">
        <v>824</v>
      </c>
      <c r="F885">
        <v>20</v>
      </c>
      <c r="G885">
        <v>28</v>
      </c>
      <c r="H885">
        <v>804</v>
      </c>
      <c r="I885">
        <v>2.4271844660194168</v>
      </c>
      <c r="J885">
        <v>97.572815533980588</v>
      </c>
      <c r="K885" t="str">
        <f>_xlfn.XLOOKUP(tblProduction[[#This Row],[Product]],tblProducts[Product],tblProducts[Category],"Not Found")</f>
        <v>Assembly</v>
      </c>
      <c r="L885">
        <f>_xlfn.XLOOKUP(tblProduction[[#This Row],[Product]],tblProducts[Product],tblProducts[Target_Units],"Not Found")</f>
        <v>900</v>
      </c>
    </row>
    <row r="886" spans="1:12" x14ac:dyDescent="0.3">
      <c r="A886" s="1">
        <v>46122</v>
      </c>
      <c r="B886" t="s">
        <v>15</v>
      </c>
      <c r="C886" t="s">
        <v>13</v>
      </c>
      <c r="D886" t="s">
        <v>18</v>
      </c>
      <c r="E886">
        <v>775</v>
      </c>
      <c r="F886">
        <v>27</v>
      </c>
      <c r="G886">
        <v>8</v>
      </c>
      <c r="H886">
        <v>748</v>
      </c>
      <c r="I886">
        <v>3.4838709677419351</v>
      </c>
      <c r="J886">
        <v>96.516129032258064</v>
      </c>
      <c r="K886" t="str">
        <f>_xlfn.XLOOKUP(tblProduction[[#This Row],[Product]],tblProducts[Product],tblProducts[Category],"Not Found")</f>
        <v>Assembly</v>
      </c>
      <c r="L886">
        <f>_xlfn.XLOOKUP(tblProduction[[#This Row],[Product]],tblProducts[Product],tblProducts[Target_Units],"Not Found")</f>
        <v>900</v>
      </c>
    </row>
    <row r="887" spans="1:12" x14ac:dyDescent="0.3">
      <c r="A887" s="1">
        <v>46122</v>
      </c>
      <c r="B887" t="s">
        <v>17</v>
      </c>
      <c r="C887" t="s">
        <v>10</v>
      </c>
      <c r="D887" t="s">
        <v>11</v>
      </c>
      <c r="E887">
        <v>817</v>
      </c>
      <c r="F887">
        <v>28</v>
      </c>
      <c r="G887">
        <v>8</v>
      </c>
      <c r="H887">
        <v>789</v>
      </c>
      <c r="I887">
        <v>3.4271725826193391</v>
      </c>
      <c r="J887">
        <v>96.572827417380651</v>
      </c>
      <c r="K887" t="str">
        <f>_xlfn.XLOOKUP(tblProduction[[#This Row],[Product]],tblProducts[Product],tblProducts[Category],"Not Found")</f>
        <v>Precision</v>
      </c>
      <c r="L887">
        <f>_xlfn.XLOOKUP(tblProduction[[#This Row],[Product]],tblProducts[Product],tblProducts[Target_Units],"Not Found")</f>
        <v>950</v>
      </c>
    </row>
    <row r="888" spans="1:12" x14ac:dyDescent="0.3">
      <c r="A888" s="1">
        <v>46122</v>
      </c>
      <c r="B888" t="s">
        <v>17</v>
      </c>
      <c r="C888" t="s">
        <v>12</v>
      </c>
      <c r="D888" t="s">
        <v>11</v>
      </c>
      <c r="E888">
        <v>747</v>
      </c>
      <c r="F888">
        <v>26</v>
      </c>
      <c r="G888">
        <v>46</v>
      </c>
      <c r="H888">
        <v>721</v>
      </c>
      <c r="I888">
        <v>3.4805890227576981</v>
      </c>
      <c r="J888">
        <v>96.519410977242302</v>
      </c>
      <c r="K888" t="str">
        <f>_xlfn.XLOOKUP(tblProduction[[#This Row],[Product]],tblProducts[Product],tblProducts[Category],"Not Found")</f>
        <v>Precision</v>
      </c>
      <c r="L888">
        <f>_xlfn.XLOOKUP(tblProduction[[#This Row],[Product]],tblProducts[Product],tblProducts[Target_Units],"Not Found")</f>
        <v>950</v>
      </c>
    </row>
    <row r="889" spans="1:12" x14ac:dyDescent="0.3">
      <c r="A889" s="1">
        <v>46122</v>
      </c>
      <c r="B889" t="s">
        <v>17</v>
      </c>
      <c r="C889" t="s">
        <v>13</v>
      </c>
      <c r="D889" t="s">
        <v>16</v>
      </c>
      <c r="E889">
        <v>714</v>
      </c>
      <c r="F889">
        <v>32</v>
      </c>
      <c r="G889">
        <v>39</v>
      </c>
      <c r="H889">
        <v>682</v>
      </c>
      <c r="I889">
        <v>4.4817927170868348</v>
      </c>
      <c r="J889">
        <v>95.518207282913167</v>
      </c>
      <c r="K889" t="str">
        <f>_xlfn.XLOOKUP(tblProduction[[#This Row],[Product]],tblProducts[Product],tblProducts[Category],"Not Found")</f>
        <v>Standard</v>
      </c>
      <c r="L889">
        <f>_xlfn.XLOOKUP(tblProduction[[#This Row],[Product]],tblProducts[Product],tblProducts[Target_Units],"Not Found")</f>
        <v>1000</v>
      </c>
    </row>
    <row r="890" spans="1:12" x14ac:dyDescent="0.3">
      <c r="A890" s="1">
        <v>46123</v>
      </c>
      <c r="B890" t="s">
        <v>9</v>
      </c>
      <c r="C890" t="s">
        <v>10</v>
      </c>
      <c r="D890" t="s">
        <v>16</v>
      </c>
      <c r="E890">
        <v>1148</v>
      </c>
      <c r="F890">
        <v>17</v>
      </c>
      <c r="G890">
        <v>1</v>
      </c>
      <c r="H890">
        <v>1131</v>
      </c>
      <c r="I890">
        <v>1.480836236933798</v>
      </c>
      <c r="J890">
        <v>98.519163763066203</v>
      </c>
      <c r="K890" t="str">
        <f>_xlfn.XLOOKUP(tblProduction[[#This Row],[Product]],tblProducts[Product],tblProducts[Category],"Not Found")</f>
        <v>Standard</v>
      </c>
      <c r="L890">
        <f>_xlfn.XLOOKUP(tblProduction[[#This Row],[Product]],tblProducts[Product],tblProducts[Target_Units],"Not Found")</f>
        <v>1000</v>
      </c>
    </row>
    <row r="891" spans="1:12" x14ac:dyDescent="0.3">
      <c r="A891" s="1">
        <v>46123</v>
      </c>
      <c r="B891" t="s">
        <v>9</v>
      </c>
      <c r="C891" t="s">
        <v>12</v>
      </c>
      <c r="D891" t="s">
        <v>16</v>
      </c>
      <c r="E891">
        <v>904</v>
      </c>
      <c r="F891">
        <v>13</v>
      </c>
      <c r="G891">
        <v>78</v>
      </c>
      <c r="H891">
        <v>891</v>
      </c>
      <c r="I891">
        <v>1.4380530973451331</v>
      </c>
      <c r="J891">
        <v>98.561946902654867</v>
      </c>
      <c r="K891" t="str">
        <f>_xlfn.XLOOKUP(tblProduction[[#This Row],[Product]],tblProducts[Product],tblProducts[Category],"Not Found")</f>
        <v>Standard</v>
      </c>
      <c r="L891">
        <f>_xlfn.XLOOKUP(tblProduction[[#This Row],[Product]],tblProducts[Product],tblProducts[Target_Units],"Not Found")</f>
        <v>1000</v>
      </c>
    </row>
    <row r="892" spans="1:12" x14ac:dyDescent="0.3">
      <c r="A892" s="1">
        <v>46123</v>
      </c>
      <c r="B892" t="s">
        <v>9</v>
      </c>
      <c r="C892" t="s">
        <v>13</v>
      </c>
      <c r="D892" t="s">
        <v>18</v>
      </c>
      <c r="E892">
        <v>780</v>
      </c>
      <c r="F892">
        <v>19</v>
      </c>
      <c r="G892">
        <v>39</v>
      </c>
      <c r="H892">
        <v>761</v>
      </c>
      <c r="I892">
        <v>2.4358974358974361</v>
      </c>
      <c r="J892">
        <v>97.564102564102555</v>
      </c>
      <c r="K892" t="str">
        <f>_xlfn.XLOOKUP(tblProduction[[#This Row],[Product]],tblProducts[Product],tblProducts[Category],"Not Found")</f>
        <v>Assembly</v>
      </c>
      <c r="L892">
        <f>_xlfn.XLOOKUP(tblProduction[[#This Row],[Product]],tblProducts[Product],tblProducts[Target_Units],"Not Found")</f>
        <v>900</v>
      </c>
    </row>
    <row r="893" spans="1:12" x14ac:dyDescent="0.3">
      <c r="A893" s="1">
        <v>46123</v>
      </c>
      <c r="B893" t="s">
        <v>15</v>
      </c>
      <c r="C893" t="s">
        <v>10</v>
      </c>
      <c r="D893" t="s">
        <v>11</v>
      </c>
      <c r="E893">
        <v>822</v>
      </c>
      <c r="F893">
        <v>20</v>
      </c>
      <c r="G893">
        <v>82</v>
      </c>
      <c r="H893">
        <v>802</v>
      </c>
      <c r="I893">
        <v>2.4330900243308999</v>
      </c>
      <c r="J893">
        <v>97.566909975669105</v>
      </c>
      <c r="K893" t="str">
        <f>_xlfn.XLOOKUP(tblProduction[[#This Row],[Product]],tblProducts[Product],tblProducts[Category],"Not Found")</f>
        <v>Precision</v>
      </c>
      <c r="L893">
        <f>_xlfn.XLOOKUP(tblProduction[[#This Row],[Product]],tblProducts[Product],tblProducts[Target_Units],"Not Found")</f>
        <v>950</v>
      </c>
    </row>
    <row r="894" spans="1:12" x14ac:dyDescent="0.3">
      <c r="A894" s="1">
        <v>46123</v>
      </c>
      <c r="B894" t="s">
        <v>15</v>
      </c>
      <c r="C894" t="s">
        <v>12</v>
      </c>
      <c r="D894" t="s">
        <v>14</v>
      </c>
      <c r="E894">
        <v>800</v>
      </c>
      <c r="F894">
        <v>26</v>
      </c>
      <c r="G894">
        <v>23</v>
      </c>
      <c r="H894">
        <v>774</v>
      </c>
      <c r="I894">
        <v>3.25</v>
      </c>
      <c r="J894">
        <v>96.75</v>
      </c>
      <c r="K894" t="str">
        <f>_xlfn.XLOOKUP(tblProduction[[#This Row],[Product]],tblProducts[Product],tblProducts[Category],"Not Found")</f>
        <v>Assembly</v>
      </c>
      <c r="L894">
        <f>_xlfn.XLOOKUP(tblProduction[[#This Row],[Product]],tblProducts[Product],tblProducts[Target_Units],"Not Found")</f>
        <v>850</v>
      </c>
    </row>
    <row r="895" spans="1:12" x14ac:dyDescent="0.3">
      <c r="A895" s="1">
        <v>46123</v>
      </c>
      <c r="B895" t="s">
        <v>15</v>
      </c>
      <c r="C895" t="s">
        <v>13</v>
      </c>
      <c r="D895" t="s">
        <v>16</v>
      </c>
      <c r="E895">
        <v>777</v>
      </c>
      <c r="F895">
        <v>27</v>
      </c>
      <c r="G895">
        <v>84</v>
      </c>
      <c r="H895">
        <v>750</v>
      </c>
      <c r="I895">
        <v>3.4749034749034751</v>
      </c>
      <c r="J895">
        <v>96.525096525096515</v>
      </c>
      <c r="K895" t="str">
        <f>_xlfn.XLOOKUP(tblProduction[[#This Row],[Product]],tblProducts[Product],tblProducts[Category],"Not Found")</f>
        <v>Standard</v>
      </c>
      <c r="L895">
        <f>_xlfn.XLOOKUP(tblProduction[[#This Row],[Product]],tblProducts[Product],tblProducts[Target_Units],"Not Found")</f>
        <v>1000</v>
      </c>
    </row>
    <row r="896" spans="1:12" x14ac:dyDescent="0.3">
      <c r="A896" s="1">
        <v>46123</v>
      </c>
      <c r="B896" t="s">
        <v>17</v>
      </c>
      <c r="C896" t="s">
        <v>10</v>
      </c>
      <c r="D896" t="s">
        <v>18</v>
      </c>
      <c r="E896">
        <v>799</v>
      </c>
      <c r="F896">
        <v>27</v>
      </c>
      <c r="G896">
        <v>2</v>
      </c>
      <c r="H896">
        <v>772</v>
      </c>
      <c r="I896">
        <v>3.3792240300375469</v>
      </c>
      <c r="J896">
        <v>96.620775969962452</v>
      </c>
      <c r="K896" t="str">
        <f>_xlfn.XLOOKUP(tblProduction[[#This Row],[Product]],tblProducts[Product],tblProducts[Category],"Not Found")</f>
        <v>Assembly</v>
      </c>
      <c r="L896">
        <f>_xlfn.XLOOKUP(tblProduction[[#This Row],[Product]],tblProducts[Product],tblProducts[Target_Units],"Not Found")</f>
        <v>900</v>
      </c>
    </row>
    <row r="897" spans="1:12" x14ac:dyDescent="0.3">
      <c r="A897" s="1">
        <v>46123</v>
      </c>
      <c r="B897" t="s">
        <v>17</v>
      </c>
      <c r="C897" t="s">
        <v>12</v>
      </c>
      <c r="D897" t="s">
        <v>18</v>
      </c>
      <c r="E897">
        <v>633</v>
      </c>
      <c r="F897">
        <v>22</v>
      </c>
      <c r="G897">
        <v>82</v>
      </c>
      <c r="H897">
        <v>611</v>
      </c>
      <c r="I897">
        <v>3.4755134281200628</v>
      </c>
      <c r="J897">
        <v>96.524486571879947</v>
      </c>
      <c r="K897" t="str">
        <f>_xlfn.XLOOKUP(tblProduction[[#This Row],[Product]],tblProducts[Product],tblProducts[Category],"Not Found")</f>
        <v>Assembly</v>
      </c>
      <c r="L897">
        <f>_xlfn.XLOOKUP(tblProduction[[#This Row],[Product]],tblProducts[Product],tblProducts[Target_Units],"Not Found")</f>
        <v>900</v>
      </c>
    </row>
    <row r="898" spans="1:12" x14ac:dyDescent="0.3">
      <c r="A898" s="1">
        <v>46123</v>
      </c>
      <c r="B898" t="s">
        <v>17</v>
      </c>
      <c r="C898" t="s">
        <v>13</v>
      </c>
      <c r="D898" t="s">
        <v>14</v>
      </c>
      <c r="E898">
        <v>584</v>
      </c>
      <c r="F898">
        <v>30</v>
      </c>
      <c r="G898">
        <v>62</v>
      </c>
      <c r="H898">
        <v>554</v>
      </c>
      <c r="I898">
        <v>5.1369863013698627</v>
      </c>
      <c r="J898">
        <v>94.863013698630141</v>
      </c>
      <c r="K898" t="str">
        <f>_xlfn.XLOOKUP(tblProduction[[#This Row],[Product]],tblProducts[Product],tblProducts[Category],"Not Found")</f>
        <v>Assembly</v>
      </c>
      <c r="L898">
        <f>_xlfn.XLOOKUP(tblProduction[[#This Row],[Product]],tblProducts[Product],tblProducts[Target_Units],"Not Found")</f>
        <v>850</v>
      </c>
    </row>
    <row r="899" spans="1:12" x14ac:dyDescent="0.3">
      <c r="A899" s="1">
        <v>46124</v>
      </c>
      <c r="B899" t="s">
        <v>9</v>
      </c>
      <c r="C899" t="s">
        <v>10</v>
      </c>
      <c r="D899" t="s">
        <v>18</v>
      </c>
      <c r="E899">
        <v>989</v>
      </c>
      <c r="F899">
        <v>14</v>
      </c>
      <c r="G899">
        <v>0</v>
      </c>
      <c r="H899">
        <v>975</v>
      </c>
      <c r="I899">
        <v>1.4155712841253789</v>
      </c>
      <c r="J899">
        <v>98.584428715874623</v>
      </c>
      <c r="K899" t="str">
        <f>_xlfn.XLOOKUP(tblProduction[[#This Row],[Product]],tblProducts[Product],tblProducts[Category],"Not Found")</f>
        <v>Assembly</v>
      </c>
      <c r="L899">
        <f>_xlfn.XLOOKUP(tblProduction[[#This Row],[Product]],tblProducts[Product],tblProducts[Target_Units],"Not Found")</f>
        <v>900</v>
      </c>
    </row>
    <row r="900" spans="1:12" x14ac:dyDescent="0.3">
      <c r="A900" s="1">
        <v>46124</v>
      </c>
      <c r="B900" t="s">
        <v>9</v>
      </c>
      <c r="C900" t="s">
        <v>12</v>
      </c>
      <c r="D900" t="s">
        <v>16</v>
      </c>
      <c r="E900">
        <v>1024</v>
      </c>
      <c r="F900">
        <v>15</v>
      </c>
      <c r="G900">
        <v>2</v>
      </c>
      <c r="H900">
        <v>1009</v>
      </c>
      <c r="I900">
        <v>1.46484375</v>
      </c>
      <c r="J900">
        <v>98.53515625</v>
      </c>
      <c r="K900" t="str">
        <f>_xlfn.XLOOKUP(tblProduction[[#This Row],[Product]],tblProducts[Product],tblProducts[Category],"Not Found")</f>
        <v>Standard</v>
      </c>
      <c r="L900">
        <f>_xlfn.XLOOKUP(tblProduction[[#This Row],[Product]],tblProducts[Product],tblProducts[Target_Units],"Not Found")</f>
        <v>1000</v>
      </c>
    </row>
    <row r="901" spans="1:12" x14ac:dyDescent="0.3">
      <c r="A901" s="1">
        <v>46124</v>
      </c>
      <c r="B901" t="s">
        <v>9</v>
      </c>
      <c r="C901" t="s">
        <v>13</v>
      </c>
      <c r="D901" t="s">
        <v>16</v>
      </c>
      <c r="E901">
        <v>871</v>
      </c>
      <c r="F901">
        <v>21</v>
      </c>
      <c r="G901">
        <v>73</v>
      </c>
      <c r="H901">
        <v>850</v>
      </c>
      <c r="I901">
        <v>2.411021814006888</v>
      </c>
      <c r="J901">
        <v>97.588978185993113</v>
      </c>
      <c r="K901" t="str">
        <f>_xlfn.XLOOKUP(tblProduction[[#This Row],[Product]],tblProducts[Product],tblProducts[Category],"Not Found")</f>
        <v>Standard</v>
      </c>
      <c r="L901">
        <f>_xlfn.XLOOKUP(tblProduction[[#This Row],[Product]],tblProducts[Product],tblProducts[Target_Units],"Not Found")</f>
        <v>1000</v>
      </c>
    </row>
    <row r="902" spans="1:12" x14ac:dyDescent="0.3">
      <c r="A902" s="1">
        <v>46124</v>
      </c>
      <c r="B902" t="s">
        <v>15</v>
      </c>
      <c r="C902" t="s">
        <v>10</v>
      </c>
      <c r="D902" t="s">
        <v>16</v>
      </c>
      <c r="E902">
        <v>865</v>
      </c>
      <c r="F902">
        <v>21</v>
      </c>
      <c r="G902">
        <v>58</v>
      </c>
      <c r="H902">
        <v>844</v>
      </c>
      <c r="I902">
        <v>2.4277456647398838</v>
      </c>
      <c r="J902">
        <v>97.572254335260112</v>
      </c>
      <c r="K902" t="str">
        <f>_xlfn.XLOOKUP(tblProduction[[#This Row],[Product]],tblProducts[Product],tblProducts[Category],"Not Found")</f>
        <v>Standard</v>
      </c>
      <c r="L902">
        <f>_xlfn.XLOOKUP(tblProduction[[#This Row],[Product]],tblProducts[Product],tblProducts[Target_Units],"Not Found")</f>
        <v>1000</v>
      </c>
    </row>
    <row r="903" spans="1:12" x14ac:dyDescent="0.3">
      <c r="A903" s="1">
        <v>46124</v>
      </c>
      <c r="B903" t="s">
        <v>15</v>
      </c>
      <c r="C903" t="s">
        <v>12</v>
      </c>
      <c r="D903" t="s">
        <v>18</v>
      </c>
      <c r="E903">
        <v>870</v>
      </c>
      <c r="F903">
        <v>21</v>
      </c>
      <c r="G903">
        <v>18</v>
      </c>
      <c r="H903">
        <v>849</v>
      </c>
      <c r="I903">
        <v>2.4137931034482758</v>
      </c>
      <c r="J903">
        <v>97.586206896551715</v>
      </c>
      <c r="K903" t="str">
        <f>_xlfn.XLOOKUP(tblProduction[[#This Row],[Product]],tblProducts[Product],tblProducts[Category],"Not Found")</f>
        <v>Assembly</v>
      </c>
      <c r="L903">
        <f>_xlfn.XLOOKUP(tblProduction[[#This Row],[Product]],tblProducts[Product],tblProducts[Target_Units],"Not Found")</f>
        <v>900</v>
      </c>
    </row>
    <row r="904" spans="1:12" x14ac:dyDescent="0.3">
      <c r="A904" s="1">
        <v>46124</v>
      </c>
      <c r="B904" t="s">
        <v>15</v>
      </c>
      <c r="C904" t="s">
        <v>13</v>
      </c>
      <c r="D904" t="s">
        <v>18</v>
      </c>
      <c r="E904">
        <v>713</v>
      </c>
      <c r="F904">
        <v>24</v>
      </c>
      <c r="G904">
        <v>31</v>
      </c>
      <c r="H904">
        <v>689</v>
      </c>
      <c r="I904">
        <v>3.366058906030855</v>
      </c>
      <c r="J904">
        <v>96.633941093969142</v>
      </c>
      <c r="K904" t="str">
        <f>_xlfn.XLOOKUP(tblProduction[[#This Row],[Product]],tblProducts[Product],tblProducts[Category],"Not Found")</f>
        <v>Assembly</v>
      </c>
      <c r="L904">
        <f>_xlfn.XLOOKUP(tblProduction[[#This Row],[Product]],tblProducts[Product],tblProducts[Target_Units],"Not Found")</f>
        <v>900</v>
      </c>
    </row>
    <row r="905" spans="1:12" x14ac:dyDescent="0.3">
      <c r="A905" s="1">
        <v>46124</v>
      </c>
      <c r="B905" t="s">
        <v>17</v>
      </c>
      <c r="C905" t="s">
        <v>10</v>
      </c>
      <c r="D905" t="s">
        <v>14</v>
      </c>
      <c r="E905">
        <v>708</v>
      </c>
      <c r="F905">
        <v>30</v>
      </c>
      <c r="G905">
        <v>20</v>
      </c>
      <c r="H905">
        <v>678</v>
      </c>
      <c r="I905">
        <v>4.2372881355932197</v>
      </c>
      <c r="J905">
        <v>95.762711864406782</v>
      </c>
      <c r="K905" t="str">
        <f>_xlfn.XLOOKUP(tblProduction[[#This Row],[Product]],tblProducts[Product],tblProducts[Category],"Not Found")</f>
        <v>Assembly</v>
      </c>
      <c r="L905">
        <f>_xlfn.XLOOKUP(tblProduction[[#This Row],[Product]],tblProducts[Product],tblProducts[Target_Units],"Not Found")</f>
        <v>850</v>
      </c>
    </row>
    <row r="906" spans="1:12" x14ac:dyDescent="0.3">
      <c r="A906" s="1">
        <v>46124</v>
      </c>
      <c r="B906" t="s">
        <v>17</v>
      </c>
      <c r="C906" t="s">
        <v>12</v>
      </c>
      <c r="D906" t="s">
        <v>14</v>
      </c>
      <c r="E906">
        <v>616</v>
      </c>
      <c r="F906">
        <v>26</v>
      </c>
      <c r="G906">
        <v>66</v>
      </c>
      <c r="H906">
        <v>590</v>
      </c>
      <c r="I906">
        <v>4.220779220779221</v>
      </c>
      <c r="J906">
        <v>95.779220779220779</v>
      </c>
      <c r="K906" t="str">
        <f>_xlfn.XLOOKUP(tblProduction[[#This Row],[Product]],tblProducts[Product],tblProducts[Category],"Not Found")</f>
        <v>Assembly</v>
      </c>
      <c r="L906">
        <f>_xlfn.XLOOKUP(tblProduction[[#This Row],[Product]],tblProducts[Product],tblProducts[Target_Units],"Not Found")</f>
        <v>850</v>
      </c>
    </row>
    <row r="907" spans="1:12" x14ac:dyDescent="0.3">
      <c r="A907" s="1">
        <v>46124</v>
      </c>
      <c r="B907" t="s">
        <v>17</v>
      </c>
      <c r="C907" t="s">
        <v>13</v>
      </c>
      <c r="D907" t="s">
        <v>16</v>
      </c>
      <c r="E907">
        <v>730</v>
      </c>
      <c r="F907">
        <v>32</v>
      </c>
      <c r="G907">
        <v>43</v>
      </c>
      <c r="H907">
        <v>698</v>
      </c>
      <c r="I907">
        <v>4.3835616438356162</v>
      </c>
      <c r="J907">
        <v>95.61643835616438</v>
      </c>
      <c r="K907" t="str">
        <f>_xlfn.XLOOKUP(tblProduction[[#This Row],[Product]],tblProducts[Product],tblProducts[Category],"Not Found")</f>
        <v>Standard</v>
      </c>
      <c r="L907">
        <f>_xlfn.XLOOKUP(tblProduction[[#This Row],[Product]],tblProducts[Product],tblProducts[Target_Units],"Not Found")</f>
        <v>1000</v>
      </c>
    </row>
    <row r="908" spans="1:12" x14ac:dyDescent="0.3">
      <c r="A908" s="1">
        <v>46125</v>
      </c>
      <c r="B908" t="s">
        <v>9</v>
      </c>
      <c r="C908" t="s">
        <v>10</v>
      </c>
      <c r="D908" t="s">
        <v>18</v>
      </c>
      <c r="E908">
        <v>872</v>
      </c>
      <c r="F908">
        <v>13</v>
      </c>
      <c r="G908">
        <v>89</v>
      </c>
      <c r="H908">
        <v>859</v>
      </c>
      <c r="I908">
        <v>1.490825688073395</v>
      </c>
      <c r="J908">
        <v>98.5091743119266</v>
      </c>
      <c r="K908" t="str">
        <f>_xlfn.XLOOKUP(tblProduction[[#This Row],[Product]],tblProducts[Product],tblProducts[Category],"Not Found")</f>
        <v>Assembly</v>
      </c>
      <c r="L908">
        <f>_xlfn.XLOOKUP(tblProduction[[#This Row],[Product]],tblProducts[Product],tblProducts[Target_Units],"Not Found")</f>
        <v>900</v>
      </c>
    </row>
    <row r="909" spans="1:12" x14ac:dyDescent="0.3">
      <c r="A909" s="1">
        <v>46125</v>
      </c>
      <c r="B909" t="s">
        <v>9</v>
      </c>
      <c r="C909" t="s">
        <v>12</v>
      </c>
      <c r="D909" t="s">
        <v>18</v>
      </c>
      <c r="E909">
        <v>973</v>
      </c>
      <c r="F909">
        <v>14</v>
      </c>
      <c r="G909">
        <v>7</v>
      </c>
      <c r="H909">
        <v>959</v>
      </c>
      <c r="I909">
        <v>1.43884892086331</v>
      </c>
      <c r="J909">
        <v>98.561151079136692</v>
      </c>
      <c r="K909" t="str">
        <f>_xlfn.XLOOKUP(tblProduction[[#This Row],[Product]],tblProducts[Product],tblProducts[Category],"Not Found")</f>
        <v>Assembly</v>
      </c>
      <c r="L909">
        <f>_xlfn.XLOOKUP(tblProduction[[#This Row],[Product]],tblProducts[Product],tblProducts[Target_Units],"Not Found")</f>
        <v>900</v>
      </c>
    </row>
    <row r="910" spans="1:12" x14ac:dyDescent="0.3">
      <c r="A910" s="1">
        <v>46125</v>
      </c>
      <c r="B910" t="s">
        <v>9</v>
      </c>
      <c r="C910" t="s">
        <v>13</v>
      </c>
      <c r="D910" t="s">
        <v>16</v>
      </c>
      <c r="E910">
        <v>943</v>
      </c>
      <c r="F910">
        <v>23</v>
      </c>
      <c r="G910">
        <v>37</v>
      </c>
      <c r="H910">
        <v>920</v>
      </c>
      <c r="I910">
        <v>2.4390243902439019</v>
      </c>
      <c r="J910">
        <v>97.560975609756099</v>
      </c>
      <c r="K910" t="str">
        <f>_xlfn.XLOOKUP(tblProduction[[#This Row],[Product]],tblProducts[Product],tblProducts[Category],"Not Found")</f>
        <v>Standard</v>
      </c>
      <c r="L910">
        <f>_xlfn.XLOOKUP(tblProduction[[#This Row],[Product]],tblProducts[Product],tblProducts[Target_Units],"Not Found")</f>
        <v>1000</v>
      </c>
    </row>
    <row r="911" spans="1:12" x14ac:dyDescent="0.3">
      <c r="A911" s="1">
        <v>46125</v>
      </c>
      <c r="B911" t="s">
        <v>15</v>
      </c>
      <c r="C911" t="s">
        <v>10</v>
      </c>
      <c r="D911" t="s">
        <v>14</v>
      </c>
      <c r="E911">
        <v>731</v>
      </c>
      <c r="F911">
        <v>24</v>
      </c>
      <c r="G911">
        <v>62</v>
      </c>
      <c r="H911">
        <v>707</v>
      </c>
      <c r="I911">
        <v>3.2831737346101231</v>
      </c>
      <c r="J911">
        <v>96.716826265389884</v>
      </c>
      <c r="K911" t="str">
        <f>_xlfn.XLOOKUP(tblProduction[[#This Row],[Product]],tblProducts[Product],tblProducts[Category],"Not Found")</f>
        <v>Assembly</v>
      </c>
      <c r="L911">
        <f>_xlfn.XLOOKUP(tblProduction[[#This Row],[Product]],tblProducts[Product],tblProducts[Target_Units],"Not Found")</f>
        <v>850</v>
      </c>
    </row>
    <row r="912" spans="1:12" x14ac:dyDescent="0.3">
      <c r="A912" s="1">
        <v>46125</v>
      </c>
      <c r="B912" t="s">
        <v>15</v>
      </c>
      <c r="C912" t="s">
        <v>12</v>
      </c>
      <c r="D912" t="s">
        <v>18</v>
      </c>
      <c r="E912">
        <v>823</v>
      </c>
      <c r="F912">
        <v>20</v>
      </c>
      <c r="G912">
        <v>26</v>
      </c>
      <c r="H912">
        <v>803</v>
      </c>
      <c r="I912">
        <v>2.4301336573511541</v>
      </c>
      <c r="J912">
        <v>97.569866342648851</v>
      </c>
      <c r="K912" t="str">
        <f>_xlfn.XLOOKUP(tblProduction[[#This Row],[Product]],tblProducts[Product],tblProducts[Category],"Not Found")</f>
        <v>Assembly</v>
      </c>
      <c r="L912">
        <f>_xlfn.XLOOKUP(tblProduction[[#This Row],[Product]],tblProducts[Product],tblProducts[Target_Units],"Not Found")</f>
        <v>900</v>
      </c>
    </row>
    <row r="913" spans="1:12" x14ac:dyDescent="0.3">
      <c r="A913" s="1">
        <v>46125</v>
      </c>
      <c r="B913" t="s">
        <v>15</v>
      </c>
      <c r="C913" t="s">
        <v>13</v>
      </c>
      <c r="D913" t="s">
        <v>11</v>
      </c>
      <c r="E913">
        <v>837</v>
      </c>
      <c r="F913">
        <v>29</v>
      </c>
      <c r="G913">
        <v>27</v>
      </c>
      <c r="H913">
        <v>808</v>
      </c>
      <c r="I913">
        <v>3.4647550776583032</v>
      </c>
      <c r="J913">
        <v>96.535244922341704</v>
      </c>
      <c r="K913" t="str">
        <f>_xlfn.XLOOKUP(tblProduction[[#This Row],[Product]],tblProducts[Product],tblProducts[Category],"Not Found")</f>
        <v>Precision</v>
      </c>
      <c r="L913">
        <f>_xlfn.XLOOKUP(tblProduction[[#This Row],[Product]],tblProducts[Product],tblProducts[Target_Units],"Not Found")</f>
        <v>950</v>
      </c>
    </row>
    <row r="914" spans="1:12" x14ac:dyDescent="0.3">
      <c r="A914" s="1">
        <v>46125</v>
      </c>
      <c r="B914" t="s">
        <v>17</v>
      </c>
      <c r="C914" t="s">
        <v>10</v>
      </c>
      <c r="D914" t="s">
        <v>18</v>
      </c>
      <c r="E914">
        <v>773</v>
      </c>
      <c r="F914">
        <v>27</v>
      </c>
      <c r="G914">
        <v>16</v>
      </c>
      <c r="H914">
        <v>746</v>
      </c>
      <c r="I914">
        <v>3.492884864165589</v>
      </c>
      <c r="J914">
        <v>96.507115135834411</v>
      </c>
      <c r="K914" t="str">
        <f>_xlfn.XLOOKUP(tblProduction[[#This Row],[Product]],tblProducts[Product],tblProducts[Category],"Not Found")</f>
        <v>Assembly</v>
      </c>
      <c r="L914">
        <f>_xlfn.XLOOKUP(tblProduction[[#This Row],[Product]],tblProducts[Product],tblProducts[Target_Units],"Not Found")</f>
        <v>900</v>
      </c>
    </row>
    <row r="915" spans="1:12" x14ac:dyDescent="0.3">
      <c r="A915" s="1">
        <v>46125</v>
      </c>
      <c r="B915" t="s">
        <v>17</v>
      </c>
      <c r="C915" t="s">
        <v>12</v>
      </c>
      <c r="D915" t="s">
        <v>11</v>
      </c>
      <c r="E915">
        <v>763</v>
      </c>
      <c r="F915">
        <v>26</v>
      </c>
      <c r="G915">
        <v>39</v>
      </c>
      <c r="H915">
        <v>737</v>
      </c>
      <c r="I915">
        <v>3.4076015727391882</v>
      </c>
      <c r="J915">
        <v>96.592398427260818</v>
      </c>
      <c r="K915" t="str">
        <f>_xlfn.XLOOKUP(tblProduction[[#This Row],[Product]],tblProducts[Product],tblProducts[Category],"Not Found")</f>
        <v>Precision</v>
      </c>
      <c r="L915">
        <f>_xlfn.XLOOKUP(tblProduction[[#This Row],[Product]],tblProducts[Product],tblProducts[Target_Units],"Not Found")</f>
        <v>950</v>
      </c>
    </row>
    <row r="916" spans="1:12" x14ac:dyDescent="0.3">
      <c r="A916" s="1">
        <v>46125</v>
      </c>
      <c r="B916" t="s">
        <v>17</v>
      </c>
      <c r="C916" t="s">
        <v>13</v>
      </c>
      <c r="D916" t="s">
        <v>11</v>
      </c>
      <c r="E916">
        <v>687</v>
      </c>
      <c r="F916">
        <v>30</v>
      </c>
      <c r="G916">
        <v>41</v>
      </c>
      <c r="H916">
        <v>657</v>
      </c>
      <c r="I916">
        <v>4.3668122270742353</v>
      </c>
      <c r="J916">
        <v>95.633187772925766</v>
      </c>
      <c r="K916" t="str">
        <f>_xlfn.XLOOKUP(tblProduction[[#This Row],[Product]],tblProducts[Product],tblProducts[Category],"Not Found")</f>
        <v>Precision</v>
      </c>
      <c r="L916">
        <f>_xlfn.XLOOKUP(tblProduction[[#This Row],[Product]],tblProducts[Product],tblProducts[Target_Units],"Not Found")</f>
        <v>950</v>
      </c>
    </row>
    <row r="917" spans="1:12" x14ac:dyDescent="0.3">
      <c r="A917" s="1">
        <v>46126</v>
      </c>
      <c r="B917" t="s">
        <v>9</v>
      </c>
      <c r="C917" t="s">
        <v>10</v>
      </c>
      <c r="D917" t="s">
        <v>14</v>
      </c>
      <c r="E917">
        <v>885</v>
      </c>
      <c r="F917">
        <v>20</v>
      </c>
      <c r="G917">
        <v>46</v>
      </c>
      <c r="H917">
        <v>865</v>
      </c>
      <c r="I917">
        <v>2.259887005649718</v>
      </c>
      <c r="J917">
        <v>97.740112994350284</v>
      </c>
      <c r="K917" t="str">
        <f>_xlfn.XLOOKUP(tblProduction[[#This Row],[Product]],tblProducts[Product],tblProducts[Category],"Not Found")</f>
        <v>Assembly</v>
      </c>
      <c r="L917">
        <f>_xlfn.XLOOKUP(tblProduction[[#This Row],[Product]],tblProducts[Product],tblProducts[Target_Units],"Not Found")</f>
        <v>850</v>
      </c>
    </row>
    <row r="918" spans="1:12" x14ac:dyDescent="0.3">
      <c r="A918" s="1">
        <v>46126</v>
      </c>
      <c r="B918" t="s">
        <v>9</v>
      </c>
      <c r="C918" t="s">
        <v>12</v>
      </c>
      <c r="D918" t="s">
        <v>14</v>
      </c>
      <c r="E918">
        <v>765</v>
      </c>
      <c r="F918">
        <v>17</v>
      </c>
      <c r="G918">
        <v>69</v>
      </c>
      <c r="H918">
        <v>748</v>
      </c>
      <c r="I918">
        <v>2.2222222222222219</v>
      </c>
      <c r="J918">
        <v>97.777777777777771</v>
      </c>
      <c r="K918" t="str">
        <f>_xlfn.XLOOKUP(tblProduction[[#This Row],[Product]],tblProducts[Product],tblProducts[Category],"Not Found")</f>
        <v>Assembly</v>
      </c>
      <c r="L918">
        <f>_xlfn.XLOOKUP(tblProduction[[#This Row],[Product]],tblProducts[Product],tblProducts[Target_Units],"Not Found")</f>
        <v>850</v>
      </c>
    </row>
    <row r="919" spans="1:12" x14ac:dyDescent="0.3">
      <c r="A919" s="1">
        <v>46126</v>
      </c>
      <c r="B919" t="s">
        <v>9</v>
      </c>
      <c r="C919" t="s">
        <v>13</v>
      </c>
      <c r="D919" t="s">
        <v>14</v>
      </c>
      <c r="E919">
        <v>794</v>
      </c>
      <c r="F919">
        <v>26</v>
      </c>
      <c r="G919">
        <v>30</v>
      </c>
      <c r="H919">
        <v>768</v>
      </c>
      <c r="I919">
        <v>3.2745591939546599</v>
      </c>
      <c r="J919">
        <v>96.725440806045341</v>
      </c>
      <c r="K919" t="str">
        <f>_xlfn.XLOOKUP(tblProduction[[#This Row],[Product]],tblProducts[Product],tblProducts[Category],"Not Found")</f>
        <v>Assembly</v>
      </c>
      <c r="L919">
        <f>_xlfn.XLOOKUP(tblProduction[[#This Row],[Product]],tblProducts[Product],tblProducts[Target_Units],"Not Found")</f>
        <v>850</v>
      </c>
    </row>
    <row r="920" spans="1:12" x14ac:dyDescent="0.3">
      <c r="A920" s="1">
        <v>46126</v>
      </c>
      <c r="B920" t="s">
        <v>15</v>
      </c>
      <c r="C920" t="s">
        <v>10</v>
      </c>
      <c r="D920" t="s">
        <v>16</v>
      </c>
      <c r="E920">
        <v>927</v>
      </c>
      <c r="F920">
        <v>23</v>
      </c>
      <c r="G920">
        <v>43</v>
      </c>
      <c r="H920">
        <v>904</v>
      </c>
      <c r="I920">
        <v>2.4811218985976269</v>
      </c>
      <c r="J920">
        <v>97.518878101402379</v>
      </c>
      <c r="K920" t="str">
        <f>_xlfn.XLOOKUP(tblProduction[[#This Row],[Product]],tblProducts[Product],tblProducts[Category],"Not Found")</f>
        <v>Standard</v>
      </c>
      <c r="L920">
        <f>_xlfn.XLOOKUP(tblProduction[[#This Row],[Product]],tblProducts[Product],tblProducts[Target_Units],"Not Found")</f>
        <v>1000</v>
      </c>
    </row>
    <row r="921" spans="1:12" x14ac:dyDescent="0.3">
      <c r="A921" s="1">
        <v>46126</v>
      </c>
      <c r="B921" t="s">
        <v>15</v>
      </c>
      <c r="C921" t="s">
        <v>12</v>
      </c>
      <c r="D921" t="s">
        <v>14</v>
      </c>
      <c r="E921">
        <v>764</v>
      </c>
      <c r="F921">
        <v>25</v>
      </c>
      <c r="G921">
        <v>54</v>
      </c>
      <c r="H921">
        <v>739</v>
      </c>
      <c r="I921">
        <v>3.2722513089005241</v>
      </c>
      <c r="J921">
        <v>96.727748691099478</v>
      </c>
      <c r="K921" t="str">
        <f>_xlfn.XLOOKUP(tblProduction[[#This Row],[Product]],tblProducts[Product],tblProducts[Category],"Not Found")</f>
        <v>Assembly</v>
      </c>
      <c r="L921">
        <f>_xlfn.XLOOKUP(tblProduction[[#This Row],[Product]],tblProducts[Product],tblProducts[Target_Units],"Not Found")</f>
        <v>850</v>
      </c>
    </row>
    <row r="922" spans="1:12" x14ac:dyDescent="0.3">
      <c r="A922" s="1">
        <v>46126</v>
      </c>
      <c r="B922" t="s">
        <v>17</v>
      </c>
      <c r="C922" t="s">
        <v>10</v>
      </c>
      <c r="D922" t="s">
        <v>16</v>
      </c>
      <c r="E922">
        <v>880</v>
      </c>
      <c r="F922">
        <v>30</v>
      </c>
      <c r="G922">
        <v>15</v>
      </c>
      <c r="H922">
        <v>850</v>
      </c>
      <c r="I922">
        <v>3.4090909090909092</v>
      </c>
      <c r="J922">
        <v>96.590909090909093</v>
      </c>
      <c r="K922" t="str">
        <f>_xlfn.XLOOKUP(tblProduction[[#This Row],[Product]],tblProducts[Product],tblProducts[Category],"Not Found")</f>
        <v>Standard</v>
      </c>
      <c r="L922">
        <f>_xlfn.XLOOKUP(tblProduction[[#This Row],[Product]],tblProducts[Product],tblProducts[Target_Units],"Not Found")</f>
        <v>1000</v>
      </c>
    </row>
    <row r="923" spans="1:12" x14ac:dyDescent="0.3">
      <c r="A923" s="1">
        <v>46126</v>
      </c>
      <c r="B923" t="s">
        <v>17</v>
      </c>
      <c r="C923" t="s">
        <v>12</v>
      </c>
      <c r="D923" t="s">
        <v>14</v>
      </c>
      <c r="E923">
        <v>716</v>
      </c>
      <c r="F923">
        <v>30</v>
      </c>
      <c r="G923">
        <v>29</v>
      </c>
      <c r="H923">
        <v>686</v>
      </c>
      <c r="I923">
        <v>4.1899441340782122</v>
      </c>
      <c r="J923">
        <v>95.810055865921782</v>
      </c>
      <c r="K923" t="str">
        <f>_xlfn.XLOOKUP(tblProduction[[#This Row],[Product]],tblProducts[Product],tblProducts[Category],"Not Found")</f>
        <v>Assembly</v>
      </c>
      <c r="L923">
        <f>_xlfn.XLOOKUP(tblProduction[[#This Row],[Product]],tblProducts[Product],tblProducts[Target_Units],"Not Found")</f>
        <v>850</v>
      </c>
    </row>
    <row r="924" spans="1:12" x14ac:dyDescent="0.3">
      <c r="A924" s="1">
        <v>46126</v>
      </c>
      <c r="B924" t="s">
        <v>17</v>
      </c>
      <c r="C924" t="s">
        <v>13</v>
      </c>
      <c r="D924" t="s">
        <v>18</v>
      </c>
      <c r="E924">
        <v>678</v>
      </c>
      <c r="F924">
        <v>30</v>
      </c>
      <c r="G924">
        <v>40</v>
      </c>
      <c r="H924">
        <v>648</v>
      </c>
      <c r="I924">
        <v>4.4247787610619467</v>
      </c>
      <c r="J924">
        <v>95.575221238938056</v>
      </c>
      <c r="K924" t="str">
        <f>_xlfn.XLOOKUP(tblProduction[[#This Row],[Product]],tblProducts[Product],tblProducts[Category],"Not Found")</f>
        <v>Assembly</v>
      </c>
      <c r="L924">
        <f>_xlfn.XLOOKUP(tblProduction[[#This Row],[Product]],tblProducts[Product],tblProducts[Target_Units],"Not Found")</f>
        <v>900</v>
      </c>
    </row>
    <row r="925" spans="1:12" x14ac:dyDescent="0.3">
      <c r="A925" s="1">
        <v>46127</v>
      </c>
      <c r="B925" t="s">
        <v>9</v>
      </c>
      <c r="C925" t="s">
        <v>10</v>
      </c>
      <c r="D925" t="s">
        <v>16</v>
      </c>
      <c r="E925">
        <v>1026</v>
      </c>
      <c r="F925">
        <v>15</v>
      </c>
      <c r="G925">
        <v>64</v>
      </c>
      <c r="H925">
        <v>1011</v>
      </c>
      <c r="I925">
        <v>1.4619883040935671</v>
      </c>
      <c r="J925">
        <v>98.538011695906434</v>
      </c>
      <c r="K925" t="str">
        <f>_xlfn.XLOOKUP(tblProduction[[#This Row],[Product]],tblProducts[Product],tblProducts[Category],"Not Found")</f>
        <v>Standard</v>
      </c>
      <c r="L925">
        <f>_xlfn.XLOOKUP(tblProduction[[#This Row],[Product]],tblProducts[Product],tblProducts[Target_Units],"Not Found")</f>
        <v>1000</v>
      </c>
    </row>
    <row r="926" spans="1:12" x14ac:dyDescent="0.3">
      <c r="A926" s="1">
        <v>46127</v>
      </c>
      <c r="B926" t="s">
        <v>9</v>
      </c>
      <c r="C926" t="s">
        <v>12</v>
      </c>
      <c r="D926" t="s">
        <v>18</v>
      </c>
      <c r="E926">
        <v>854</v>
      </c>
      <c r="F926">
        <v>12</v>
      </c>
      <c r="G926">
        <v>72</v>
      </c>
      <c r="H926">
        <v>842</v>
      </c>
      <c r="I926">
        <v>1.405152224824356</v>
      </c>
      <c r="J926">
        <v>98.594847775175637</v>
      </c>
      <c r="K926" t="str">
        <f>_xlfn.XLOOKUP(tblProduction[[#This Row],[Product]],tblProducts[Product],tblProducts[Category],"Not Found")</f>
        <v>Assembly</v>
      </c>
      <c r="L926">
        <f>_xlfn.XLOOKUP(tblProduction[[#This Row],[Product]],tblProducts[Product],tblProducts[Target_Units],"Not Found")</f>
        <v>900</v>
      </c>
    </row>
    <row r="927" spans="1:12" x14ac:dyDescent="0.3">
      <c r="A927" s="1">
        <v>46127</v>
      </c>
      <c r="B927" t="s">
        <v>9</v>
      </c>
      <c r="C927" t="s">
        <v>13</v>
      </c>
      <c r="D927" t="s">
        <v>16</v>
      </c>
      <c r="E927">
        <v>895</v>
      </c>
      <c r="F927">
        <v>22</v>
      </c>
      <c r="G927">
        <v>25</v>
      </c>
      <c r="H927">
        <v>873</v>
      </c>
      <c r="I927">
        <v>2.4581005586592179</v>
      </c>
      <c r="J927">
        <v>97.541899441340789</v>
      </c>
      <c r="K927" t="str">
        <f>_xlfn.XLOOKUP(tblProduction[[#This Row],[Product]],tblProducts[Product],tblProducts[Category],"Not Found")</f>
        <v>Standard</v>
      </c>
      <c r="L927">
        <f>_xlfn.XLOOKUP(tblProduction[[#This Row],[Product]],tblProducts[Product],tblProducts[Target_Units],"Not Found")</f>
        <v>1000</v>
      </c>
    </row>
    <row r="928" spans="1:12" x14ac:dyDescent="0.3">
      <c r="A928" s="1">
        <v>46127</v>
      </c>
      <c r="B928" t="s">
        <v>15</v>
      </c>
      <c r="C928" t="s">
        <v>10</v>
      </c>
      <c r="D928" t="s">
        <v>18</v>
      </c>
      <c r="E928">
        <v>854</v>
      </c>
      <c r="F928">
        <v>21</v>
      </c>
      <c r="G928">
        <v>10</v>
      </c>
      <c r="H928">
        <v>833</v>
      </c>
      <c r="I928">
        <v>2.459016393442623</v>
      </c>
      <c r="J928">
        <v>97.540983606557376</v>
      </c>
      <c r="K928" t="str">
        <f>_xlfn.XLOOKUP(tblProduction[[#This Row],[Product]],tblProducts[Product],tblProducts[Category],"Not Found")</f>
        <v>Assembly</v>
      </c>
      <c r="L928">
        <f>_xlfn.XLOOKUP(tblProduction[[#This Row],[Product]],tblProducts[Product],tblProducts[Target_Units],"Not Found")</f>
        <v>900</v>
      </c>
    </row>
    <row r="929" spans="1:12" x14ac:dyDescent="0.3">
      <c r="A929" s="1">
        <v>46127</v>
      </c>
      <c r="B929" t="s">
        <v>15</v>
      </c>
      <c r="C929" t="s">
        <v>12</v>
      </c>
      <c r="D929" t="s">
        <v>16</v>
      </c>
      <c r="E929">
        <v>803</v>
      </c>
      <c r="F929">
        <v>20</v>
      </c>
      <c r="G929">
        <v>83</v>
      </c>
      <c r="H929">
        <v>783</v>
      </c>
      <c r="I929">
        <v>2.4906600249066</v>
      </c>
      <c r="J929">
        <v>97.509339975093397</v>
      </c>
      <c r="K929" t="str">
        <f>_xlfn.XLOOKUP(tblProduction[[#This Row],[Product]],tblProducts[Product],tblProducts[Category],"Not Found")</f>
        <v>Standard</v>
      </c>
      <c r="L929">
        <f>_xlfn.XLOOKUP(tblProduction[[#This Row],[Product]],tblProducts[Product],tblProducts[Target_Units],"Not Found")</f>
        <v>1000</v>
      </c>
    </row>
    <row r="930" spans="1:12" x14ac:dyDescent="0.3">
      <c r="A930" s="1">
        <v>46127</v>
      </c>
      <c r="B930" t="s">
        <v>15</v>
      </c>
      <c r="C930" t="s">
        <v>13</v>
      </c>
      <c r="D930" t="s">
        <v>16</v>
      </c>
      <c r="E930">
        <v>803</v>
      </c>
      <c r="F930">
        <v>28</v>
      </c>
      <c r="G930">
        <v>31</v>
      </c>
      <c r="H930">
        <v>775</v>
      </c>
      <c r="I930">
        <v>3.486924034869241</v>
      </c>
      <c r="J930">
        <v>96.513075965130753</v>
      </c>
      <c r="K930" t="str">
        <f>_xlfn.XLOOKUP(tblProduction[[#This Row],[Product]],tblProducts[Product],tblProducts[Category],"Not Found")</f>
        <v>Standard</v>
      </c>
      <c r="L930">
        <f>_xlfn.XLOOKUP(tblProduction[[#This Row],[Product]],tblProducts[Product],tblProducts[Target_Units],"Not Found")</f>
        <v>1000</v>
      </c>
    </row>
    <row r="931" spans="1:12" x14ac:dyDescent="0.3">
      <c r="A931" s="1">
        <v>46127</v>
      </c>
      <c r="B931" t="s">
        <v>17</v>
      </c>
      <c r="C931" t="s">
        <v>10</v>
      </c>
      <c r="D931" t="s">
        <v>14</v>
      </c>
      <c r="E931">
        <v>679</v>
      </c>
      <c r="F931">
        <v>29</v>
      </c>
      <c r="G931">
        <v>53</v>
      </c>
      <c r="H931">
        <v>650</v>
      </c>
      <c r="I931">
        <v>4.2709867452135493</v>
      </c>
      <c r="J931">
        <v>95.729013254786452</v>
      </c>
      <c r="K931" t="str">
        <f>_xlfn.XLOOKUP(tblProduction[[#This Row],[Product]],tblProducts[Product],tblProducts[Category],"Not Found")</f>
        <v>Assembly</v>
      </c>
      <c r="L931">
        <f>_xlfn.XLOOKUP(tblProduction[[#This Row],[Product]],tblProducts[Product],tblProducts[Target_Units],"Not Found")</f>
        <v>850</v>
      </c>
    </row>
    <row r="932" spans="1:12" x14ac:dyDescent="0.3">
      <c r="A932" s="1">
        <v>46127</v>
      </c>
      <c r="B932" t="s">
        <v>17</v>
      </c>
      <c r="C932" t="s">
        <v>12</v>
      </c>
      <c r="D932" t="s">
        <v>16</v>
      </c>
      <c r="E932">
        <v>875</v>
      </c>
      <c r="F932">
        <v>30</v>
      </c>
      <c r="G932">
        <v>8</v>
      </c>
      <c r="H932">
        <v>845</v>
      </c>
      <c r="I932">
        <v>3.4285714285714288</v>
      </c>
      <c r="J932">
        <v>96.571428571428569</v>
      </c>
      <c r="K932" t="str">
        <f>_xlfn.XLOOKUP(tblProduction[[#This Row],[Product]],tblProducts[Product],tblProducts[Category],"Not Found")</f>
        <v>Standard</v>
      </c>
      <c r="L932">
        <f>_xlfn.XLOOKUP(tblProduction[[#This Row],[Product]],tblProducts[Product],tblProducts[Target_Units],"Not Found")</f>
        <v>1000</v>
      </c>
    </row>
    <row r="933" spans="1:12" x14ac:dyDescent="0.3">
      <c r="A933" s="1">
        <v>46127</v>
      </c>
      <c r="B933" t="s">
        <v>17</v>
      </c>
      <c r="C933" t="s">
        <v>13</v>
      </c>
      <c r="D933" t="s">
        <v>11</v>
      </c>
      <c r="E933">
        <v>667</v>
      </c>
      <c r="F933">
        <v>30</v>
      </c>
      <c r="G933">
        <v>87</v>
      </c>
      <c r="H933">
        <v>637</v>
      </c>
      <c r="I933">
        <v>4.497751124437781</v>
      </c>
      <c r="J933">
        <v>95.502248875562231</v>
      </c>
      <c r="K933" t="str">
        <f>_xlfn.XLOOKUP(tblProduction[[#This Row],[Product]],tblProducts[Product],tblProducts[Category],"Not Found")</f>
        <v>Precision</v>
      </c>
      <c r="L933">
        <f>_xlfn.XLOOKUP(tblProduction[[#This Row],[Product]],tblProducts[Product],tblProducts[Target_Units],"Not Found")</f>
        <v>950</v>
      </c>
    </row>
    <row r="934" spans="1:12" x14ac:dyDescent="0.3">
      <c r="A934" s="1">
        <v>46128</v>
      </c>
      <c r="B934" t="s">
        <v>9</v>
      </c>
      <c r="C934" t="s">
        <v>10</v>
      </c>
      <c r="D934" t="s">
        <v>16</v>
      </c>
      <c r="E934">
        <v>985</v>
      </c>
      <c r="F934">
        <v>14</v>
      </c>
      <c r="G934">
        <v>45</v>
      </c>
      <c r="H934">
        <v>971</v>
      </c>
      <c r="I934">
        <v>1.421319796954315</v>
      </c>
      <c r="J934">
        <v>98.578680203045693</v>
      </c>
      <c r="K934" t="str">
        <f>_xlfn.XLOOKUP(tblProduction[[#This Row],[Product]],tblProducts[Product],tblProducts[Category],"Not Found")</f>
        <v>Standard</v>
      </c>
      <c r="L934">
        <f>_xlfn.XLOOKUP(tblProduction[[#This Row],[Product]],tblProducts[Product],tblProducts[Target_Units],"Not Found")</f>
        <v>1000</v>
      </c>
    </row>
    <row r="935" spans="1:12" x14ac:dyDescent="0.3">
      <c r="A935" s="1">
        <v>46128</v>
      </c>
      <c r="B935" t="s">
        <v>9</v>
      </c>
      <c r="C935" t="s">
        <v>12</v>
      </c>
      <c r="D935" t="s">
        <v>11</v>
      </c>
      <c r="E935">
        <v>960</v>
      </c>
      <c r="F935">
        <v>14</v>
      </c>
      <c r="G935">
        <v>33</v>
      </c>
      <c r="H935">
        <v>946</v>
      </c>
      <c r="I935">
        <v>1.458333333333333</v>
      </c>
      <c r="J935">
        <v>98.541666666666671</v>
      </c>
      <c r="K935" t="str">
        <f>_xlfn.XLOOKUP(tblProduction[[#This Row],[Product]],tblProducts[Product],tblProducts[Category],"Not Found")</f>
        <v>Precision</v>
      </c>
      <c r="L935">
        <f>_xlfn.XLOOKUP(tblProduction[[#This Row],[Product]],tblProducts[Product],tblProducts[Target_Units],"Not Found")</f>
        <v>950</v>
      </c>
    </row>
    <row r="936" spans="1:12" x14ac:dyDescent="0.3">
      <c r="A936" s="1">
        <v>46128</v>
      </c>
      <c r="B936" t="s">
        <v>9</v>
      </c>
      <c r="C936" t="s">
        <v>13</v>
      </c>
      <c r="D936" t="s">
        <v>14</v>
      </c>
      <c r="E936">
        <v>743</v>
      </c>
      <c r="F936">
        <v>24</v>
      </c>
      <c r="G936">
        <v>50</v>
      </c>
      <c r="H936">
        <v>719</v>
      </c>
      <c r="I936">
        <v>3.2301480484522211</v>
      </c>
      <c r="J936">
        <v>96.769851951547778</v>
      </c>
      <c r="K936" t="str">
        <f>_xlfn.XLOOKUP(tblProduction[[#This Row],[Product]],tblProducts[Product],tblProducts[Category],"Not Found")</f>
        <v>Assembly</v>
      </c>
      <c r="L936">
        <f>_xlfn.XLOOKUP(tblProduction[[#This Row],[Product]],tblProducts[Product],tblProducts[Target_Units],"Not Found")</f>
        <v>850</v>
      </c>
    </row>
    <row r="937" spans="1:12" x14ac:dyDescent="0.3">
      <c r="A937" s="1">
        <v>46128</v>
      </c>
      <c r="B937" t="s">
        <v>15</v>
      </c>
      <c r="C937" t="s">
        <v>10</v>
      </c>
      <c r="D937" t="s">
        <v>11</v>
      </c>
      <c r="E937">
        <v>802</v>
      </c>
      <c r="F937">
        <v>20</v>
      </c>
      <c r="G937">
        <v>82</v>
      </c>
      <c r="H937">
        <v>782</v>
      </c>
      <c r="I937">
        <v>2.4937655860349128</v>
      </c>
      <c r="J937">
        <v>97.506234413965089</v>
      </c>
      <c r="K937" t="str">
        <f>_xlfn.XLOOKUP(tblProduction[[#This Row],[Product]],tblProducts[Product],tblProducts[Category],"Not Found")</f>
        <v>Precision</v>
      </c>
      <c r="L937">
        <f>_xlfn.XLOOKUP(tblProduction[[#This Row],[Product]],tblProducts[Product],tblProducts[Target_Units],"Not Found")</f>
        <v>950</v>
      </c>
    </row>
    <row r="938" spans="1:12" x14ac:dyDescent="0.3">
      <c r="A938" s="1">
        <v>46128</v>
      </c>
      <c r="B938" t="s">
        <v>15</v>
      </c>
      <c r="C938" t="s">
        <v>12</v>
      </c>
      <c r="D938" t="s">
        <v>14</v>
      </c>
      <c r="E938">
        <v>736</v>
      </c>
      <c r="F938">
        <v>24</v>
      </c>
      <c r="G938">
        <v>34</v>
      </c>
      <c r="H938">
        <v>712</v>
      </c>
      <c r="I938">
        <v>3.2608695652173911</v>
      </c>
      <c r="J938">
        <v>96.739130434782609</v>
      </c>
      <c r="K938" t="str">
        <f>_xlfn.XLOOKUP(tblProduction[[#This Row],[Product]],tblProducts[Product],tblProducts[Category],"Not Found")</f>
        <v>Assembly</v>
      </c>
      <c r="L938">
        <f>_xlfn.XLOOKUP(tblProduction[[#This Row],[Product]],tblProducts[Product],tblProducts[Target_Units],"Not Found")</f>
        <v>850</v>
      </c>
    </row>
    <row r="939" spans="1:12" x14ac:dyDescent="0.3">
      <c r="A939" s="1">
        <v>46128</v>
      </c>
      <c r="B939" t="s">
        <v>15</v>
      </c>
      <c r="C939" t="s">
        <v>13</v>
      </c>
      <c r="D939" t="s">
        <v>16</v>
      </c>
      <c r="E939">
        <v>793</v>
      </c>
      <c r="F939">
        <v>27</v>
      </c>
      <c r="G939">
        <v>69</v>
      </c>
      <c r="H939">
        <v>766</v>
      </c>
      <c r="I939">
        <v>3.404791929382093</v>
      </c>
      <c r="J939">
        <v>96.595208070617915</v>
      </c>
      <c r="K939" t="str">
        <f>_xlfn.XLOOKUP(tblProduction[[#This Row],[Product]],tblProducts[Product],tblProducts[Category],"Not Found")</f>
        <v>Standard</v>
      </c>
      <c r="L939">
        <f>_xlfn.XLOOKUP(tblProduction[[#This Row],[Product]],tblProducts[Product],tblProducts[Target_Units],"Not Found")</f>
        <v>1000</v>
      </c>
    </row>
    <row r="940" spans="1:12" x14ac:dyDescent="0.3">
      <c r="A940" s="1">
        <v>46128</v>
      </c>
      <c r="B940" t="s">
        <v>17</v>
      </c>
      <c r="C940" t="s">
        <v>10</v>
      </c>
      <c r="D940" t="s">
        <v>18</v>
      </c>
      <c r="E940">
        <v>725</v>
      </c>
      <c r="F940">
        <v>25</v>
      </c>
      <c r="G940">
        <v>44</v>
      </c>
      <c r="H940">
        <v>700</v>
      </c>
      <c r="I940">
        <v>3.4482758620689649</v>
      </c>
      <c r="J940">
        <v>96.551724137931032</v>
      </c>
      <c r="K940" t="str">
        <f>_xlfn.XLOOKUP(tblProduction[[#This Row],[Product]],tblProducts[Product],tblProducts[Category],"Not Found")</f>
        <v>Assembly</v>
      </c>
      <c r="L940">
        <f>_xlfn.XLOOKUP(tblProduction[[#This Row],[Product]],tblProducts[Product],tblProducts[Target_Units],"Not Found")</f>
        <v>900</v>
      </c>
    </row>
    <row r="941" spans="1:12" x14ac:dyDescent="0.3">
      <c r="A941" s="1">
        <v>46128</v>
      </c>
      <c r="B941" t="s">
        <v>17</v>
      </c>
      <c r="C941" t="s">
        <v>12</v>
      </c>
      <c r="D941" t="s">
        <v>14</v>
      </c>
      <c r="E941">
        <v>648</v>
      </c>
      <c r="F941">
        <v>27</v>
      </c>
      <c r="G941">
        <v>55</v>
      </c>
      <c r="H941">
        <v>621</v>
      </c>
      <c r="I941">
        <v>4.1666666666666661</v>
      </c>
      <c r="J941">
        <v>95.833333333333343</v>
      </c>
      <c r="K941" t="str">
        <f>_xlfn.XLOOKUP(tblProduction[[#This Row],[Product]],tblProducts[Product],tblProducts[Category],"Not Found")</f>
        <v>Assembly</v>
      </c>
      <c r="L941">
        <f>_xlfn.XLOOKUP(tblProduction[[#This Row],[Product]],tblProducts[Product],tblProducts[Target_Units],"Not Found")</f>
        <v>850</v>
      </c>
    </row>
    <row r="942" spans="1:12" x14ac:dyDescent="0.3">
      <c r="A942" s="1">
        <v>46128</v>
      </c>
      <c r="B942" t="s">
        <v>17</v>
      </c>
      <c r="C942" t="s">
        <v>13</v>
      </c>
      <c r="D942" t="s">
        <v>14</v>
      </c>
      <c r="E942">
        <v>683</v>
      </c>
      <c r="F942">
        <v>36</v>
      </c>
      <c r="G942">
        <v>3</v>
      </c>
      <c r="H942">
        <v>647</v>
      </c>
      <c r="I942">
        <v>5.2708638360175701</v>
      </c>
      <c r="J942">
        <v>94.729136163982432</v>
      </c>
      <c r="K942" t="str">
        <f>_xlfn.XLOOKUP(tblProduction[[#This Row],[Product]],tblProducts[Product],tblProducts[Category],"Not Found")</f>
        <v>Assembly</v>
      </c>
      <c r="L942">
        <f>_xlfn.XLOOKUP(tblProduction[[#This Row],[Product]],tblProducts[Product],tblProducts[Target_Units],"Not Found")</f>
        <v>850</v>
      </c>
    </row>
    <row r="943" spans="1:12" x14ac:dyDescent="0.3">
      <c r="A943" s="1">
        <v>46129</v>
      </c>
      <c r="B943" t="s">
        <v>9</v>
      </c>
      <c r="C943" t="s">
        <v>10</v>
      </c>
      <c r="D943" t="s">
        <v>11</v>
      </c>
      <c r="E943">
        <v>890</v>
      </c>
      <c r="F943">
        <v>13</v>
      </c>
      <c r="G943">
        <v>82</v>
      </c>
      <c r="H943">
        <v>877</v>
      </c>
      <c r="I943">
        <v>1.460674157303371</v>
      </c>
      <c r="J943">
        <v>98.539325842696641</v>
      </c>
      <c r="K943" t="str">
        <f>_xlfn.XLOOKUP(tblProduction[[#This Row],[Product]],tblProducts[Product],tblProducts[Category],"Not Found")</f>
        <v>Precision</v>
      </c>
      <c r="L943">
        <f>_xlfn.XLOOKUP(tblProduction[[#This Row],[Product]],tblProducts[Product],tblProducts[Target_Units],"Not Found")</f>
        <v>950</v>
      </c>
    </row>
    <row r="944" spans="1:12" x14ac:dyDescent="0.3">
      <c r="A944" s="1">
        <v>46129</v>
      </c>
      <c r="B944" t="s">
        <v>9</v>
      </c>
      <c r="C944" t="s">
        <v>12</v>
      </c>
      <c r="D944" t="s">
        <v>16</v>
      </c>
      <c r="E944">
        <v>1031</v>
      </c>
      <c r="F944">
        <v>15</v>
      </c>
      <c r="G944">
        <v>33</v>
      </c>
      <c r="H944">
        <v>1016</v>
      </c>
      <c r="I944">
        <v>1.4548981571290009</v>
      </c>
      <c r="J944">
        <v>98.545101842870992</v>
      </c>
      <c r="K944" t="str">
        <f>_xlfn.XLOOKUP(tblProduction[[#This Row],[Product]],tblProducts[Product],tblProducts[Category],"Not Found")</f>
        <v>Standard</v>
      </c>
      <c r="L944">
        <f>_xlfn.XLOOKUP(tblProduction[[#This Row],[Product]],tblProducts[Product],tblProducts[Target_Units],"Not Found")</f>
        <v>1000</v>
      </c>
    </row>
    <row r="945" spans="1:12" x14ac:dyDescent="0.3">
      <c r="A945" s="1">
        <v>46129</v>
      </c>
      <c r="B945" t="s">
        <v>9</v>
      </c>
      <c r="C945" t="s">
        <v>13</v>
      </c>
      <c r="D945" t="s">
        <v>18</v>
      </c>
      <c r="E945">
        <v>770</v>
      </c>
      <c r="F945">
        <v>19</v>
      </c>
      <c r="G945">
        <v>76</v>
      </c>
      <c r="H945">
        <v>751</v>
      </c>
      <c r="I945">
        <v>2.4675324675324681</v>
      </c>
      <c r="J945">
        <v>97.532467532467535</v>
      </c>
      <c r="K945" t="str">
        <f>_xlfn.XLOOKUP(tblProduction[[#This Row],[Product]],tblProducts[Product],tblProducts[Category],"Not Found")</f>
        <v>Assembly</v>
      </c>
      <c r="L945">
        <f>_xlfn.XLOOKUP(tblProduction[[#This Row],[Product]],tblProducts[Product],tblProducts[Target_Units],"Not Found")</f>
        <v>900</v>
      </c>
    </row>
    <row r="946" spans="1:12" x14ac:dyDescent="0.3">
      <c r="A946" s="1">
        <v>46129</v>
      </c>
      <c r="B946" t="s">
        <v>15</v>
      </c>
      <c r="C946" t="s">
        <v>10</v>
      </c>
      <c r="D946" t="s">
        <v>14</v>
      </c>
      <c r="E946">
        <v>797</v>
      </c>
      <c r="F946">
        <v>26</v>
      </c>
      <c r="G946">
        <v>44</v>
      </c>
      <c r="H946">
        <v>771</v>
      </c>
      <c r="I946">
        <v>3.2622333751568382</v>
      </c>
      <c r="J946">
        <v>96.737766624843161</v>
      </c>
      <c r="K946" t="str">
        <f>_xlfn.XLOOKUP(tblProduction[[#This Row],[Product]],tblProducts[Product],tblProducts[Category],"Not Found")</f>
        <v>Assembly</v>
      </c>
      <c r="L946">
        <f>_xlfn.XLOOKUP(tblProduction[[#This Row],[Product]],tblProducts[Product],tblProducts[Target_Units],"Not Found")</f>
        <v>850</v>
      </c>
    </row>
    <row r="947" spans="1:12" x14ac:dyDescent="0.3">
      <c r="A947" s="1">
        <v>46129</v>
      </c>
      <c r="B947" t="s">
        <v>15</v>
      </c>
      <c r="C947" t="s">
        <v>12</v>
      </c>
      <c r="D947" t="s">
        <v>16</v>
      </c>
      <c r="E947">
        <v>866</v>
      </c>
      <c r="F947">
        <v>21</v>
      </c>
      <c r="G947">
        <v>30</v>
      </c>
      <c r="H947">
        <v>845</v>
      </c>
      <c r="I947">
        <v>2.424942263279446</v>
      </c>
      <c r="J947">
        <v>97.575057736720552</v>
      </c>
      <c r="K947" t="str">
        <f>_xlfn.XLOOKUP(tblProduction[[#This Row],[Product]],tblProducts[Product],tblProducts[Category],"Not Found")</f>
        <v>Standard</v>
      </c>
      <c r="L947">
        <f>_xlfn.XLOOKUP(tblProduction[[#This Row],[Product]],tblProducts[Product],tblProducts[Target_Units],"Not Found")</f>
        <v>1000</v>
      </c>
    </row>
    <row r="948" spans="1:12" x14ac:dyDescent="0.3">
      <c r="A948" s="1">
        <v>46129</v>
      </c>
      <c r="B948" t="s">
        <v>15</v>
      </c>
      <c r="C948" t="s">
        <v>13</v>
      </c>
      <c r="D948" t="s">
        <v>11</v>
      </c>
      <c r="E948">
        <v>737</v>
      </c>
      <c r="F948">
        <v>25</v>
      </c>
      <c r="G948">
        <v>77</v>
      </c>
      <c r="H948">
        <v>712</v>
      </c>
      <c r="I948">
        <v>3.3921302578018988</v>
      </c>
      <c r="J948">
        <v>96.607869742198105</v>
      </c>
      <c r="K948" t="str">
        <f>_xlfn.XLOOKUP(tblProduction[[#This Row],[Product]],tblProducts[Product],tblProducts[Category],"Not Found")</f>
        <v>Precision</v>
      </c>
      <c r="L948">
        <f>_xlfn.XLOOKUP(tblProduction[[#This Row],[Product]],tblProducts[Product],tblProducts[Target_Units],"Not Found")</f>
        <v>950</v>
      </c>
    </row>
    <row r="949" spans="1:12" x14ac:dyDescent="0.3">
      <c r="A949" s="1">
        <v>46129</v>
      </c>
      <c r="B949" t="s">
        <v>17</v>
      </c>
      <c r="C949" t="s">
        <v>10</v>
      </c>
      <c r="D949" t="s">
        <v>16</v>
      </c>
      <c r="E949">
        <v>883</v>
      </c>
      <c r="F949">
        <v>30</v>
      </c>
      <c r="G949">
        <v>38</v>
      </c>
      <c r="H949">
        <v>853</v>
      </c>
      <c r="I949">
        <v>3.3975084937712339</v>
      </c>
      <c r="J949">
        <v>96.602491506228759</v>
      </c>
      <c r="K949" t="str">
        <f>_xlfn.XLOOKUP(tblProduction[[#This Row],[Product]],tblProducts[Product],tblProducts[Category],"Not Found")</f>
        <v>Standard</v>
      </c>
      <c r="L949">
        <f>_xlfn.XLOOKUP(tblProduction[[#This Row],[Product]],tblProducts[Product],tblProducts[Target_Units],"Not Found")</f>
        <v>1000</v>
      </c>
    </row>
    <row r="950" spans="1:12" x14ac:dyDescent="0.3">
      <c r="A950" s="1">
        <v>46129</v>
      </c>
      <c r="B950" t="s">
        <v>17</v>
      </c>
      <c r="C950" t="s">
        <v>12</v>
      </c>
      <c r="D950" t="s">
        <v>11</v>
      </c>
      <c r="E950">
        <v>771</v>
      </c>
      <c r="F950">
        <v>26</v>
      </c>
      <c r="G950">
        <v>45</v>
      </c>
      <c r="H950">
        <v>745</v>
      </c>
      <c r="I950">
        <v>3.3722438391699092</v>
      </c>
      <c r="J950">
        <v>96.627756160830089</v>
      </c>
      <c r="K950" t="str">
        <f>_xlfn.XLOOKUP(tblProduction[[#This Row],[Product]],tblProducts[Product],tblProducts[Category],"Not Found")</f>
        <v>Precision</v>
      </c>
      <c r="L950">
        <f>_xlfn.XLOOKUP(tblProduction[[#This Row],[Product]],tblProducts[Product],tblProducts[Target_Units],"Not Found")</f>
        <v>950</v>
      </c>
    </row>
    <row r="951" spans="1:12" x14ac:dyDescent="0.3">
      <c r="A951" s="1">
        <v>46129</v>
      </c>
      <c r="B951" t="s">
        <v>17</v>
      </c>
      <c r="C951" t="s">
        <v>13</v>
      </c>
      <c r="D951" t="s">
        <v>16</v>
      </c>
      <c r="E951">
        <v>713</v>
      </c>
      <c r="F951">
        <v>32</v>
      </c>
      <c r="G951">
        <v>52</v>
      </c>
      <c r="H951">
        <v>681</v>
      </c>
      <c r="I951">
        <v>4.4880785413744739</v>
      </c>
      <c r="J951">
        <v>95.511921458625523</v>
      </c>
      <c r="K951" t="str">
        <f>_xlfn.XLOOKUP(tblProduction[[#This Row],[Product]],tblProducts[Product],tblProducts[Category],"Not Found")</f>
        <v>Standard</v>
      </c>
      <c r="L951">
        <f>_xlfn.XLOOKUP(tblProduction[[#This Row],[Product]],tblProducts[Product],tblProducts[Target_Units],"Not Found")</f>
        <v>1000</v>
      </c>
    </row>
    <row r="952" spans="1:12" x14ac:dyDescent="0.3">
      <c r="A952" s="1">
        <v>46130</v>
      </c>
      <c r="B952" t="s">
        <v>9</v>
      </c>
      <c r="C952" t="s">
        <v>10</v>
      </c>
      <c r="D952" t="s">
        <v>11</v>
      </c>
      <c r="E952">
        <v>978</v>
      </c>
      <c r="F952">
        <v>14</v>
      </c>
      <c r="G952">
        <v>33</v>
      </c>
      <c r="H952">
        <v>964</v>
      </c>
      <c r="I952">
        <v>1.4314928425357869</v>
      </c>
      <c r="J952">
        <v>98.568507157464211</v>
      </c>
      <c r="K952" t="str">
        <f>_xlfn.XLOOKUP(tblProduction[[#This Row],[Product]],tblProducts[Product],tblProducts[Category],"Not Found")</f>
        <v>Precision</v>
      </c>
      <c r="L952">
        <f>_xlfn.XLOOKUP(tblProduction[[#This Row],[Product]],tblProducts[Product],tblProducts[Target_Units],"Not Found")</f>
        <v>950</v>
      </c>
    </row>
    <row r="953" spans="1:12" x14ac:dyDescent="0.3">
      <c r="A953" s="1">
        <v>46130</v>
      </c>
      <c r="B953" t="s">
        <v>9</v>
      </c>
      <c r="C953" t="s">
        <v>12</v>
      </c>
      <c r="D953" t="s">
        <v>14</v>
      </c>
      <c r="E953">
        <v>744</v>
      </c>
      <c r="F953">
        <v>17</v>
      </c>
      <c r="G953">
        <v>71</v>
      </c>
      <c r="H953">
        <v>727</v>
      </c>
      <c r="I953">
        <v>2.28494623655914</v>
      </c>
      <c r="J953">
        <v>97.715053763440864</v>
      </c>
      <c r="K953" t="str">
        <f>_xlfn.XLOOKUP(tblProduction[[#This Row],[Product]],tblProducts[Product],tblProducts[Category],"Not Found")</f>
        <v>Assembly</v>
      </c>
      <c r="L953">
        <f>_xlfn.XLOOKUP(tblProduction[[#This Row],[Product]],tblProducts[Product],tblProducts[Target_Units],"Not Found")</f>
        <v>850</v>
      </c>
    </row>
    <row r="954" spans="1:12" x14ac:dyDescent="0.3">
      <c r="A954" s="1">
        <v>46130</v>
      </c>
      <c r="B954" t="s">
        <v>9</v>
      </c>
      <c r="C954" t="s">
        <v>13</v>
      </c>
      <c r="D954" t="s">
        <v>14</v>
      </c>
      <c r="E954">
        <v>736</v>
      </c>
      <c r="F954">
        <v>24</v>
      </c>
      <c r="G954">
        <v>62</v>
      </c>
      <c r="H954">
        <v>712</v>
      </c>
      <c r="I954">
        <v>3.2608695652173911</v>
      </c>
      <c r="J954">
        <v>96.739130434782609</v>
      </c>
      <c r="K954" t="str">
        <f>_xlfn.XLOOKUP(tblProduction[[#This Row],[Product]],tblProducts[Product],tblProducts[Category],"Not Found")</f>
        <v>Assembly</v>
      </c>
      <c r="L954">
        <f>_xlfn.XLOOKUP(tblProduction[[#This Row],[Product]],tblProducts[Product],tblProducts[Target_Units],"Not Found")</f>
        <v>850</v>
      </c>
    </row>
    <row r="955" spans="1:12" x14ac:dyDescent="0.3">
      <c r="A955" s="1">
        <v>46130</v>
      </c>
      <c r="B955" t="s">
        <v>15</v>
      </c>
      <c r="C955" t="s">
        <v>10</v>
      </c>
      <c r="D955" t="s">
        <v>16</v>
      </c>
      <c r="E955">
        <v>904</v>
      </c>
      <c r="F955">
        <v>22</v>
      </c>
      <c r="G955">
        <v>71</v>
      </c>
      <c r="H955">
        <v>882</v>
      </c>
      <c r="I955">
        <v>2.4336283185840708</v>
      </c>
      <c r="J955">
        <v>97.56637168141593</v>
      </c>
      <c r="K955" t="str">
        <f>_xlfn.XLOOKUP(tblProduction[[#This Row],[Product]],tblProducts[Product],tblProducts[Category],"Not Found")</f>
        <v>Standard</v>
      </c>
      <c r="L955">
        <f>_xlfn.XLOOKUP(tblProduction[[#This Row],[Product]],tblProducts[Product],tblProducts[Target_Units],"Not Found")</f>
        <v>1000</v>
      </c>
    </row>
    <row r="956" spans="1:12" x14ac:dyDescent="0.3">
      <c r="A956" s="1">
        <v>46130</v>
      </c>
      <c r="B956" t="s">
        <v>15</v>
      </c>
      <c r="C956" t="s">
        <v>12</v>
      </c>
      <c r="D956" t="s">
        <v>14</v>
      </c>
      <c r="E956">
        <v>685</v>
      </c>
      <c r="F956">
        <v>22</v>
      </c>
      <c r="G956">
        <v>87</v>
      </c>
      <c r="H956">
        <v>663</v>
      </c>
      <c r="I956">
        <v>3.211678832116788</v>
      </c>
      <c r="J956">
        <v>96.788321167883211</v>
      </c>
      <c r="K956" t="str">
        <f>_xlfn.XLOOKUP(tblProduction[[#This Row],[Product]],tblProducts[Product],tblProducts[Category],"Not Found")</f>
        <v>Assembly</v>
      </c>
      <c r="L956">
        <f>_xlfn.XLOOKUP(tblProduction[[#This Row],[Product]],tblProducts[Product],tblProducts[Target_Units],"Not Found")</f>
        <v>850</v>
      </c>
    </row>
    <row r="957" spans="1:12" x14ac:dyDescent="0.3">
      <c r="A957" s="1">
        <v>46130</v>
      </c>
      <c r="B957" t="s">
        <v>15</v>
      </c>
      <c r="C957" t="s">
        <v>13</v>
      </c>
      <c r="D957" t="s">
        <v>11</v>
      </c>
      <c r="E957">
        <v>752</v>
      </c>
      <c r="F957">
        <v>26</v>
      </c>
      <c r="G957">
        <v>35</v>
      </c>
      <c r="H957">
        <v>726</v>
      </c>
      <c r="I957">
        <v>3.457446808510638</v>
      </c>
      <c r="J957">
        <v>96.542553191489361</v>
      </c>
      <c r="K957" t="str">
        <f>_xlfn.XLOOKUP(tblProduction[[#This Row],[Product]],tblProducts[Product],tblProducts[Category],"Not Found")</f>
        <v>Precision</v>
      </c>
      <c r="L957">
        <f>_xlfn.XLOOKUP(tblProduction[[#This Row],[Product]],tblProducts[Product],tblProducts[Target_Units],"Not Found")</f>
        <v>950</v>
      </c>
    </row>
    <row r="958" spans="1:12" x14ac:dyDescent="0.3">
      <c r="A958" s="1">
        <v>46130</v>
      </c>
      <c r="B958" t="s">
        <v>17</v>
      </c>
      <c r="C958" t="s">
        <v>10</v>
      </c>
      <c r="D958" t="s">
        <v>18</v>
      </c>
      <c r="E958">
        <v>696</v>
      </c>
      <c r="F958">
        <v>24</v>
      </c>
      <c r="G958">
        <v>88</v>
      </c>
      <c r="H958">
        <v>672</v>
      </c>
      <c r="I958">
        <v>3.4482758620689649</v>
      </c>
      <c r="J958">
        <v>96.551724137931032</v>
      </c>
      <c r="K958" t="str">
        <f>_xlfn.XLOOKUP(tblProduction[[#This Row],[Product]],tblProducts[Product],tblProducts[Category],"Not Found")</f>
        <v>Assembly</v>
      </c>
      <c r="L958">
        <f>_xlfn.XLOOKUP(tblProduction[[#This Row],[Product]],tblProducts[Product],tblProducts[Target_Units],"Not Found")</f>
        <v>900</v>
      </c>
    </row>
    <row r="959" spans="1:12" x14ac:dyDescent="0.3">
      <c r="A959" s="1">
        <v>46130</v>
      </c>
      <c r="B959" t="s">
        <v>17</v>
      </c>
      <c r="C959" t="s">
        <v>12</v>
      </c>
      <c r="D959" t="s">
        <v>11</v>
      </c>
      <c r="E959">
        <v>722</v>
      </c>
      <c r="F959">
        <v>25</v>
      </c>
      <c r="G959">
        <v>58</v>
      </c>
      <c r="H959">
        <v>697</v>
      </c>
      <c r="I959">
        <v>3.4626038781163442</v>
      </c>
      <c r="J959">
        <v>96.53739612188366</v>
      </c>
      <c r="K959" t="str">
        <f>_xlfn.XLOOKUP(tblProduction[[#This Row],[Product]],tblProducts[Product],tblProducts[Category],"Not Found")</f>
        <v>Precision</v>
      </c>
      <c r="L959">
        <f>_xlfn.XLOOKUP(tblProduction[[#This Row],[Product]],tblProducts[Product],tblProducts[Target_Units],"Not Found")</f>
        <v>950</v>
      </c>
    </row>
    <row r="960" spans="1:12" x14ac:dyDescent="0.3">
      <c r="A960" s="1">
        <v>46130</v>
      </c>
      <c r="B960" t="s">
        <v>17</v>
      </c>
      <c r="C960" t="s">
        <v>13</v>
      </c>
      <c r="D960" t="s">
        <v>11</v>
      </c>
      <c r="E960">
        <v>716</v>
      </c>
      <c r="F960">
        <v>32</v>
      </c>
      <c r="G960">
        <v>52</v>
      </c>
      <c r="H960">
        <v>684</v>
      </c>
      <c r="I960">
        <v>4.4692737430167604</v>
      </c>
      <c r="J960">
        <v>95.530726256983243</v>
      </c>
      <c r="K960" t="str">
        <f>_xlfn.XLOOKUP(tblProduction[[#This Row],[Product]],tblProducts[Product],tblProducts[Category],"Not Found")</f>
        <v>Precision</v>
      </c>
      <c r="L960">
        <f>_xlfn.XLOOKUP(tblProduction[[#This Row],[Product]],tblProducts[Product],tblProducts[Target_Units],"Not Found")</f>
        <v>950</v>
      </c>
    </row>
    <row r="961" spans="1:12" x14ac:dyDescent="0.3">
      <c r="A961" s="1">
        <v>46131</v>
      </c>
      <c r="B961" t="s">
        <v>9</v>
      </c>
      <c r="C961" t="s">
        <v>10</v>
      </c>
      <c r="D961" t="s">
        <v>11</v>
      </c>
      <c r="E961">
        <v>860</v>
      </c>
      <c r="F961">
        <v>12</v>
      </c>
      <c r="G961">
        <v>90</v>
      </c>
      <c r="H961">
        <v>848</v>
      </c>
      <c r="I961">
        <v>1.3953488372093019</v>
      </c>
      <c r="J961">
        <v>98.604651162790702</v>
      </c>
      <c r="K961" t="str">
        <f>_xlfn.XLOOKUP(tblProduction[[#This Row],[Product]],tblProducts[Product],tblProducts[Category],"Not Found")</f>
        <v>Precision</v>
      </c>
      <c r="L961">
        <f>_xlfn.XLOOKUP(tblProduction[[#This Row],[Product]],tblProducts[Product],tblProducts[Target_Units],"Not Found")</f>
        <v>950</v>
      </c>
    </row>
    <row r="962" spans="1:12" x14ac:dyDescent="0.3">
      <c r="A962" s="1">
        <v>46131</v>
      </c>
      <c r="B962" t="s">
        <v>9</v>
      </c>
      <c r="C962" t="s">
        <v>12</v>
      </c>
      <c r="D962" t="s">
        <v>18</v>
      </c>
      <c r="E962">
        <v>828</v>
      </c>
      <c r="F962">
        <v>12</v>
      </c>
      <c r="G962">
        <v>86</v>
      </c>
      <c r="H962">
        <v>816</v>
      </c>
      <c r="I962">
        <v>1.449275362318841</v>
      </c>
      <c r="J962">
        <v>98.550724637681171</v>
      </c>
      <c r="K962" t="str">
        <f>_xlfn.XLOOKUP(tblProduction[[#This Row],[Product]],tblProducts[Product],tblProducts[Category],"Not Found")</f>
        <v>Assembly</v>
      </c>
      <c r="L962">
        <f>_xlfn.XLOOKUP(tblProduction[[#This Row],[Product]],tblProducts[Product],tblProducts[Target_Units],"Not Found")</f>
        <v>900</v>
      </c>
    </row>
    <row r="963" spans="1:12" x14ac:dyDescent="0.3">
      <c r="A963" s="1">
        <v>46131</v>
      </c>
      <c r="B963" t="s">
        <v>9</v>
      </c>
      <c r="C963" t="s">
        <v>13</v>
      </c>
      <c r="D963" t="s">
        <v>11</v>
      </c>
      <c r="E963">
        <v>868</v>
      </c>
      <c r="F963">
        <v>21</v>
      </c>
      <c r="G963">
        <v>22</v>
      </c>
      <c r="H963">
        <v>847</v>
      </c>
      <c r="I963">
        <v>2.419354838709677</v>
      </c>
      <c r="J963">
        <v>97.58064516129032</v>
      </c>
      <c r="K963" t="str">
        <f>_xlfn.XLOOKUP(tblProduction[[#This Row],[Product]],tblProducts[Product],tblProducts[Category],"Not Found")</f>
        <v>Precision</v>
      </c>
      <c r="L963">
        <f>_xlfn.XLOOKUP(tblProduction[[#This Row],[Product]],tblProducts[Product],tblProducts[Target_Units],"Not Found")</f>
        <v>950</v>
      </c>
    </row>
    <row r="964" spans="1:12" x14ac:dyDescent="0.3">
      <c r="A964" s="1">
        <v>46131</v>
      </c>
      <c r="B964" t="s">
        <v>15</v>
      </c>
      <c r="C964" t="s">
        <v>10</v>
      </c>
      <c r="D964" t="s">
        <v>11</v>
      </c>
      <c r="E964">
        <v>917</v>
      </c>
      <c r="F964">
        <v>22</v>
      </c>
      <c r="G964">
        <v>20</v>
      </c>
      <c r="H964">
        <v>895</v>
      </c>
      <c r="I964">
        <v>2.3991275899672848</v>
      </c>
      <c r="J964">
        <v>97.600872410032707</v>
      </c>
      <c r="K964" t="str">
        <f>_xlfn.XLOOKUP(tblProduction[[#This Row],[Product]],tblProducts[Product],tblProducts[Category],"Not Found")</f>
        <v>Precision</v>
      </c>
      <c r="L964">
        <f>_xlfn.XLOOKUP(tblProduction[[#This Row],[Product]],tblProducts[Product],tblProducts[Target_Units],"Not Found")</f>
        <v>950</v>
      </c>
    </row>
    <row r="965" spans="1:12" x14ac:dyDescent="0.3">
      <c r="A965" s="1">
        <v>46131</v>
      </c>
      <c r="B965" t="s">
        <v>15</v>
      </c>
      <c r="C965" t="s">
        <v>12</v>
      </c>
      <c r="D965" t="s">
        <v>11</v>
      </c>
      <c r="E965">
        <v>830</v>
      </c>
      <c r="F965">
        <v>20</v>
      </c>
      <c r="G965">
        <v>50</v>
      </c>
      <c r="H965">
        <v>810</v>
      </c>
      <c r="I965">
        <v>2.4096385542168681</v>
      </c>
      <c r="J965">
        <v>97.590361445783131</v>
      </c>
      <c r="K965" t="str">
        <f>_xlfn.XLOOKUP(tblProduction[[#This Row],[Product]],tblProducts[Product],tblProducts[Category],"Not Found")</f>
        <v>Precision</v>
      </c>
      <c r="L965">
        <f>_xlfn.XLOOKUP(tblProduction[[#This Row],[Product]],tblProducts[Product],tblProducts[Target_Units],"Not Found")</f>
        <v>950</v>
      </c>
    </row>
    <row r="966" spans="1:12" x14ac:dyDescent="0.3">
      <c r="A966" s="1">
        <v>46131</v>
      </c>
      <c r="B966" t="s">
        <v>15</v>
      </c>
      <c r="C966" t="s">
        <v>13</v>
      </c>
      <c r="D966" t="s">
        <v>18</v>
      </c>
      <c r="E966">
        <v>705</v>
      </c>
      <c r="F966">
        <v>24</v>
      </c>
      <c r="G966">
        <v>49</v>
      </c>
      <c r="H966">
        <v>681</v>
      </c>
      <c r="I966">
        <v>3.4042553191489362</v>
      </c>
      <c r="J966">
        <v>96.595744680851055</v>
      </c>
      <c r="K966" t="str">
        <f>_xlfn.XLOOKUP(tblProduction[[#This Row],[Product]],tblProducts[Product],tblProducts[Category],"Not Found")</f>
        <v>Assembly</v>
      </c>
      <c r="L966">
        <f>_xlfn.XLOOKUP(tblProduction[[#This Row],[Product]],tblProducts[Product],tblProducts[Target_Units],"Not Found")</f>
        <v>900</v>
      </c>
    </row>
    <row r="967" spans="1:12" x14ac:dyDescent="0.3">
      <c r="A967" s="1">
        <v>46131</v>
      </c>
      <c r="B967" t="s">
        <v>17</v>
      </c>
      <c r="C967" t="s">
        <v>10</v>
      </c>
      <c r="D967" t="s">
        <v>11</v>
      </c>
      <c r="E967">
        <v>813</v>
      </c>
      <c r="F967">
        <v>28</v>
      </c>
      <c r="G967">
        <v>32</v>
      </c>
      <c r="H967">
        <v>785</v>
      </c>
      <c r="I967">
        <v>3.444034440344403</v>
      </c>
      <c r="J967">
        <v>96.555965559655604</v>
      </c>
      <c r="K967" t="str">
        <f>_xlfn.XLOOKUP(tblProduction[[#This Row],[Product]],tblProducts[Product],tblProducts[Category],"Not Found")</f>
        <v>Precision</v>
      </c>
      <c r="L967">
        <f>_xlfn.XLOOKUP(tblProduction[[#This Row],[Product]],tblProducts[Product],tblProducts[Target_Units],"Not Found")</f>
        <v>950</v>
      </c>
    </row>
    <row r="968" spans="1:12" x14ac:dyDescent="0.3">
      <c r="A968" s="1">
        <v>46131</v>
      </c>
      <c r="B968" t="s">
        <v>17</v>
      </c>
      <c r="C968" t="s">
        <v>12</v>
      </c>
      <c r="D968" t="s">
        <v>11</v>
      </c>
      <c r="E968">
        <v>715</v>
      </c>
      <c r="F968">
        <v>25</v>
      </c>
      <c r="G968">
        <v>56</v>
      </c>
      <c r="H968">
        <v>690</v>
      </c>
      <c r="I968">
        <v>3.4965034965034971</v>
      </c>
      <c r="J968">
        <v>96.503496503496507</v>
      </c>
      <c r="K968" t="str">
        <f>_xlfn.XLOOKUP(tblProduction[[#This Row],[Product]],tblProducts[Product],tblProducts[Category],"Not Found")</f>
        <v>Precision</v>
      </c>
      <c r="L968">
        <f>_xlfn.XLOOKUP(tblProduction[[#This Row],[Product]],tblProducts[Product],tblProducts[Target_Units],"Not Found")</f>
        <v>950</v>
      </c>
    </row>
    <row r="969" spans="1:12" x14ac:dyDescent="0.3">
      <c r="A969" s="1">
        <v>46131</v>
      </c>
      <c r="B969" t="s">
        <v>17</v>
      </c>
      <c r="C969" t="s">
        <v>13</v>
      </c>
      <c r="D969" t="s">
        <v>18</v>
      </c>
      <c r="E969">
        <v>614</v>
      </c>
      <c r="F969">
        <v>27</v>
      </c>
      <c r="G969">
        <v>69</v>
      </c>
      <c r="H969">
        <v>587</v>
      </c>
      <c r="I969">
        <v>4.3973941368078178</v>
      </c>
      <c r="J969">
        <v>95.602605863192181</v>
      </c>
      <c r="K969" t="str">
        <f>_xlfn.XLOOKUP(tblProduction[[#This Row],[Product]],tblProducts[Product],tblProducts[Category],"Not Found")</f>
        <v>Assembly</v>
      </c>
      <c r="L969">
        <f>_xlfn.XLOOKUP(tblProduction[[#This Row],[Product]],tblProducts[Product],tblProducts[Target_Units],"Not Found")</f>
        <v>900</v>
      </c>
    </row>
    <row r="970" spans="1:12" x14ac:dyDescent="0.3">
      <c r="A970" s="1">
        <v>46132</v>
      </c>
      <c r="B970" t="s">
        <v>9</v>
      </c>
      <c r="C970" t="s">
        <v>10</v>
      </c>
      <c r="D970" t="s">
        <v>16</v>
      </c>
      <c r="E970">
        <v>1033</v>
      </c>
      <c r="F970">
        <v>15</v>
      </c>
      <c r="G970">
        <v>24</v>
      </c>
      <c r="H970">
        <v>1018</v>
      </c>
      <c r="I970">
        <v>1.452081316553727</v>
      </c>
      <c r="J970">
        <v>98.547918683446284</v>
      </c>
      <c r="K970" t="str">
        <f>_xlfn.XLOOKUP(tblProduction[[#This Row],[Product]],tblProducts[Product],tblProducts[Category],"Not Found")</f>
        <v>Standard</v>
      </c>
      <c r="L970">
        <f>_xlfn.XLOOKUP(tblProduction[[#This Row],[Product]],tblProducts[Product],tblProducts[Target_Units],"Not Found")</f>
        <v>1000</v>
      </c>
    </row>
    <row r="971" spans="1:12" x14ac:dyDescent="0.3">
      <c r="A971" s="1">
        <v>46132</v>
      </c>
      <c r="B971" t="s">
        <v>9</v>
      </c>
      <c r="C971" t="s">
        <v>12</v>
      </c>
      <c r="D971" t="s">
        <v>18</v>
      </c>
      <c r="E971">
        <v>903</v>
      </c>
      <c r="F971">
        <v>13</v>
      </c>
      <c r="G971">
        <v>24</v>
      </c>
      <c r="H971">
        <v>890</v>
      </c>
      <c r="I971">
        <v>1.4396456256921371</v>
      </c>
      <c r="J971">
        <v>98.560354374307863</v>
      </c>
      <c r="K971" t="str">
        <f>_xlfn.XLOOKUP(tblProduction[[#This Row],[Product]],tblProducts[Product],tblProducts[Category],"Not Found")</f>
        <v>Assembly</v>
      </c>
      <c r="L971">
        <f>_xlfn.XLOOKUP(tblProduction[[#This Row],[Product]],tblProducts[Product],tblProducts[Target_Units],"Not Found")</f>
        <v>900</v>
      </c>
    </row>
    <row r="972" spans="1:12" x14ac:dyDescent="0.3">
      <c r="A972" s="1">
        <v>46132</v>
      </c>
      <c r="B972" t="s">
        <v>9</v>
      </c>
      <c r="C972" t="s">
        <v>13</v>
      </c>
      <c r="D972" t="s">
        <v>18</v>
      </c>
      <c r="E972">
        <v>736</v>
      </c>
      <c r="F972">
        <v>18</v>
      </c>
      <c r="G972">
        <v>84</v>
      </c>
      <c r="H972">
        <v>718</v>
      </c>
      <c r="I972">
        <v>2.445652173913043</v>
      </c>
      <c r="J972">
        <v>97.554347826086953</v>
      </c>
      <c r="K972" t="str">
        <f>_xlfn.XLOOKUP(tblProduction[[#This Row],[Product]],tblProducts[Product],tblProducts[Category],"Not Found")</f>
        <v>Assembly</v>
      </c>
      <c r="L972">
        <f>_xlfn.XLOOKUP(tblProduction[[#This Row],[Product]],tblProducts[Product],tblProducts[Target_Units],"Not Found")</f>
        <v>900</v>
      </c>
    </row>
    <row r="973" spans="1:12" x14ac:dyDescent="0.3">
      <c r="A973" s="1">
        <v>46132</v>
      </c>
      <c r="B973" t="s">
        <v>15</v>
      </c>
      <c r="C973" t="s">
        <v>10</v>
      </c>
      <c r="D973" t="s">
        <v>11</v>
      </c>
      <c r="E973">
        <v>916</v>
      </c>
      <c r="F973">
        <v>22</v>
      </c>
      <c r="G973">
        <v>48</v>
      </c>
      <c r="H973">
        <v>894</v>
      </c>
      <c r="I973">
        <v>2.4017467248908302</v>
      </c>
      <c r="J973">
        <v>97.598253275109172</v>
      </c>
      <c r="K973" t="str">
        <f>_xlfn.XLOOKUP(tblProduction[[#This Row],[Product]],tblProducts[Product],tblProducts[Category],"Not Found")</f>
        <v>Precision</v>
      </c>
      <c r="L973">
        <f>_xlfn.XLOOKUP(tblProduction[[#This Row],[Product]],tblProducts[Product],tblProducts[Target_Units],"Not Found")</f>
        <v>950</v>
      </c>
    </row>
    <row r="974" spans="1:12" x14ac:dyDescent="0.3">
      <c r="A974" s="1">
        <v>46132</v>
      </c>
      <c r="B974" t="s">
        <v>15</v>
      </c>
      <c r="C974" t="s">
        <v>12</v>
      </c>
      <c r="D974" t="s">
        <v>18</v>
      </c>
      <c r="E974">
        <v>835</v>
      </c>
      <c r="F974">
        <v>20</v>
      </c>
      <c r="G974">
        <v>26</v>
      </c>
      <c r="H974">
        <v>815</v>
      </c>
      <c r="I974">
        <v>2.395209580838324</v>
      </c>
      <c r="J974">
        <v>97.604790419161674</v>
      </c>
      <c r="K974" t="str">
        <f>_xlfn.XLOOKUP(tblProduction[[#This Row],[Product]],tblProducts[Product],tblProducts[Category],"Not Found")</f>
        <v>Assembly</v>
      </c>
      <c r="L974">
        <f>_xlfn.XLOOKUP(tblProduction[[#This Row],[Product]],tblProducts[Product],tblProducts[Target_Units],"Not Found")</f>
        <v>900</v>
      </c>
    </row>
    <row r="975" spans="1:12" x14ac:dyDescent="0.3">
      <c r="A975" s="1">
        <v>46132</v>
      </c>
      <c r="B975" t="s">
        <v>15</v>
      </c>
      <c r="C975" t="s">
        <v>13</v>
      </c>
      <c r="D975" t="s">
        <v>11</v>
      </c>
      <c r="E975">
        <v>836</v>
      </c>
      <c r="F975">
        <v>29</v>
      </c>
      <c r="G975">
        <v>21</v>
      </c>
      <c r="H975">
        <v>807</v>
      </c>
      <c r="I975">
        <v>3.4688995215311</v>
      </c>
      <c r="J975">
        <v>96.5311004784689</v>
      </c>
      <c r="K975" t="str">
        <f>_xlfn.XLOOKUP(tblProduction[[#This Row],[Product]],tblProducts[Product],tblProducts[Category],"Not Found")</f>
        <v>Precision</v>
      </c>
      <c r="L975">
        <f>_xlfn.XLOOKUP(tblProduction[[#This Row],[Product]],tblProducts[Product],tblProducts[Target_Units],"Not Found")</f>
        <v>950</v>
      </c>
    </row>
    <row r="976" spans="1:12" x14ac:dyDescent="0.3">
      <c r="A976" s="1">
        <v>46132</v>
      </c>
      <c r="B976" t="s">
        <v>17</v>
      </c>
      <c r="C976" t="s">
        <v>10</v>
      </c>
      <c r="D976" t="s">
        <v>14</v>
      </c>
      <c r="E976">
        <v>794</v>
      </c>
      <c r="F976">
        <v>34</v>
      </c>
      <c r="G976">
        <v>5</v>
      </c>
      <c r="H976">
        <v>760</v>
      </c>
      <c r="I976">
        <v>4.2821158690176322</v>
      </c>
      <c r="J976">
        <v>95.71788413098237</v>
      </c>
      <c r="K976" t="str">
        <f>_xlfn.XLOOKUP(tblProduction[[#This Row],[Product]],tblProducts[Product],tblProducts[Category],"Not Found")</f>
        <v>Assembly</v>
      </c>
      <c r="L976">
        <f>_xlfn.XLOOKUP(tblProduction[[#This Row],[Product]],tblProducts[Product],tblProducts[Target_Units],"Not Found")</f>
        <v>850</v>
      </c>
    </row>
    <row r="977" spans="1:12" x14ac:dyDescent="0.3">
      <c r="A977" s="1">
        <v>46132</v>
      </c>
      <c r="B977" t="s">
        <v>17</v>
      </c>
      <c r="C977" t="s">
        <v>12</v>
      </c>
      <c r="D977" t="s">
        <v>18</v>
      </c>
      <c r="E977">
        <v>748</v>
      </c>
      <c r="F977">
        <v>26</v>
      </c>
      <c r="G977">
        <v>43</v>
      </c>
      <c r="H977">
        <v>722</v>
      </c>
      <c r="I977">
        <v>3.475935828877005</v>
      </c>
      <c r="J977">
        <v>96.524064171122987</v>
      </c>
      <c r="K977" t="str">
        <f>_xlfn.XLOOKUP(tblProduction[[#This Row],[Product]],tblProducts[Product],tblProducts[Category],"Not Found")</f>
        <v>Assembly</v>
      </c>
      <c r="L977">
        <f>_xlfn.XLOOKUP(tblProduction[[#This Row],[Product]],tblProducts[Product],tblProducts[Target_Units],"Not Found")</f>
        <v>900</v>
      </c>
    </row>
    <row r="978" spans="1:12" x14ac:dyDescent="0.3">
      <c r="A978" s="1">
        <v>46132</v>
      </c>
      <c r="B978" t="s">
        <v>17</v>
      </c>
      <c r="C978" t="s">
        <v>13</v>
      </c>
      <c r="D978" t="s">
        <v>11</v>
      </c>
      <c r="E978">
        <v>731</v>
      </c>
      <c r="F978">
        <v>32</v>
      </c>
      <c r="G978">
        <v>34</v>
      </c>
      <c r="H978">
        <v>699</v>
      </c>
      <c r="I978">
        <v>4.3775649794801641</v>
      </c>
      <c r="J978">
        <v>95.622435020519831</v>
      </c>
      <c r="K978" t="str">
        <f>_xlfn.XLOOKUP(tblProduction[[#This Row],[Product]],tblProducts[Product],tblProducts[Category],"Not Found")</f>
        <v>Precision</v>
      </c>
      <c r="L978">
        <f>_xlfn.XLOOKUP(tblProduction[[#This Row],[Product]],tblProducts[Product],tblProducts[Target_Units],"Not Found")</f>
        <v>950</v>
      </c>
    </row>
    <row r="979" spans="1:12" x14ac:dyDescent="0.3">
      <c r="A979" s="1">
        <v>46133</v>
      </c>
      <c r="B979" t="s">
        <v>9</v>
      </c>
      <c r="C979" t="s">
        <v>10</v>
      </c>
      <c r="D979" t="s">
        <v>16</v>
      </c>
      <c r="E979">
        <v>981</v>
      </c>
      <c r="F979">
        <v>14</v>
      </c>
      <c r="G979">
        <v>48</v>
      </c>
      <c r="H979">
        <v>967</v>
      </c>
      <c r="I979">
        <v>1.427115188583078</v>
      </c>
      <c r="J979">
        <v>98.572884811416912</v>
      </c>
      <c r="K979" t="str">
        <f>_xlfn.XLOOKUP(tblProduction[[#This Row],[Product]],tblProducts[Product],tblProducts[Category],"Not Found")</f>
        <v>Standard</v>
      </c>
      <c r="L979">
        <f>_xlfn.XLOOKUP(tblProduction[[#This Row],[Product]],tblProducts[Product],tblProducts[Target_Units],"Not Found")</f>
        <v>1000</v>
      </c>
    </row>
    <row r="980" spans="1:12" x14ac:dyDescent="0.3">
      <c r="A980" s="1">
        <v>46133</v>
      </c>
      <c r="B980" t="s">
        <v>9</v>
      </c>
      <c r="C980" t="s">
        <v>12</v>
      </c>
      <c r="D980" t="s">
        <v>16</v>
      </c>
      <c r="E980">
        <v>970</v>
      </c>
      <c r="F980">
        <v>14</v>
      </c>
      <c r="G980">
        <v>58</v>
      </c>
      <c r="H980">
        <v>956</v>
      </c>
      <c r="I980">
        <v>1.4432989690721649</v>
      </c>
      <c r="J980">
        <v>98.55670103092784</v>
      </c>
      <c r="K980" t="str">
        <f>_xlfn.XLOOKUP(tblProduction[[#This Row],[Product]],tblProducts[Product],tblProducts[Category],"Not Found")</f>
        <v>Standard</v>
      </c>
      <c r="L980">
        <f>_xlfn.XLOOKUP(tblProduction[[#This Row],[Product]],tblProducts[Product],tblProducts[Target_Units],"Not Found")</f>
        <v>1000</v>
      </c>
    </row>
    <row r="981" spans="1:12" x14ac:dyDescent="0.3">
      <c r="A981" s="1">
        <v>46133</v>
      </c>
      <c r="B981" t="s">
        <v>9</v>
      </c>
      <c r="C981" t="s">
        <v>13</v>
      </c>
      <c r="D981" t="s">
        <v>16</v>
      </c>
      <c r="E981">
        <v>861</v>
      </c>
      <c r="F981">
        <v>21</v>
      </c>
      <c r="G981">
        <v>82</v>
      </c>
      <c r="H981">
        <v>840</v>
      </c>
      <c r="I981">
        <v>2.4390243902439019</v>
      </c>
      <c r="J981">
        <v>97.560975609756099</v>
      </c>
      <c r="K981" t="str">
        <f>_xlfn.XLOOKUP(tblProduction[[#This Row],[Product]],tblProducts[Product],tblProducts[Category],"Not Found")</f>
        <v>Standard</v>
      </c>
      <c r="L981">
        <f>_xlfn.XLOOKUP(tblProduction[[#This Row],[Product]],tblProducts[Product],tblProducts[Target_Units],"Not Found")</f>
        <v>1000</v>
      </c>
    </row>
    <row r="982" spans="1:12" x14ac:dyDescent="0.3">
      <c r="A982" s="1">
        <v>46133</v>
      </c>
      <c r="B982" t="s">
        <v>15</v>
      </c>
      <c r="C982" t="s">
        <v>10</v>
      </c>
      <c r="D982" t="s">
        <v>18</v>
      </c>
      <c r="E982">
        <v>776</v>
      </c>
      <c r="F982">
        <v>19</v>
      </c>
      <c r="G982">
        <v>72</v>
      </c>
      <c r="H982">
        <v>757</v>
      </c>
      <c r="I982">
        <v>2.4484536082474229</v>
      </c>
      <c r="J982">
        <v>97.551546391752581</v>
      </c>
      <c r="K982" t="str">
        <f>_xlfn.XLOOKUP(tblProduction[[#This Row],[Product]],tblProducts[Product],tblProducts[Category],"Not Found")</f>
        <v>Assembly</v>
      </c>
      <c r="L982">
        <f>_xlfn.XLOOKUP(tblProduction[[#This Row],[Product]],tblProducts[Product],tblProducts[Target_Units],"Not Found")</f>
        <v>900</v>
      </c>
    </row>
    <row r="983" spans="1:12" x14ac:dyDescent="0.3">
      <c r="A983" s="1">
        <v>46133</v>
      </c>
      <c r="B983" t="s">
        <v>15</v>
      </c>
      <c r="C983" t="s">
        <v>12</v>
      </c>
      <c r="D983" t="s">
        <v>14</v>
      </c>
      <c r="E983">
        <v>787</v>
      </c>
      <c r="F983">
        <v>25</v>
      </c>
      <c r="G983">
        <v>23</v>
      </c>
      <c r="H983">
        <v>762</v>
      </c>
      <c r="I983">
        <v>3.1766200762388821</v>
      </c>
      <c r="J983">
        <v>96.823379923761124</v>
      </c>
      <c r="K983" t="str">
        <f>_xlfn.XLOOKUP(tblProduction[[#This Row],[Product]],tblProducts[Product],tblProducts[Category],"Not Found")</f>
        <v>Assembly</v>
      </c>
      <c r="L983">
        <f>_xlfn.XLOOKUP(tblProduction[[#This Row],[Product]],tblProducts[Product],tblProducts[Target_Units],"Not Found")</f>
        <v>850</v>
      </c>
    </row>
    <row r="984" spans="1:12" x14ac:dyDescent="0.3">
      <c r="A984" s="1">
        <v>46133</v>
      </c>
      <c r="B984" t="s">
        <v>15</v>
      </c>
      <c r="C984" t="s">
        <v>13</v>
      </c>
      <c r="D984" t="s">
        <v>16</v>
      </c>
      <c r="E984">
        <v>807</v>
      </c>
      <c r="F984">
        <v>28</v>
      </c>
      <c r="G984">
        <v>51</v>
      </c>
      <c r="H984">
        <v>779</v>
      </c>
      <c r="I984">
        <v>3.4696406443618342</v>
      </c>
      <c r="J984">
        <v>96.530359355638168</v>
      </c>
      <c r="K984" t="str">
        <f>_xlfn.XLOOKUP(tblProduction[[#This Row],[Product]],tblProducts[Product],tblProducts[Category],"Not Found")</f>
        <v>Standard</v>
      </c>
      <c r="L984">
        <f>_xlfn.XLOOKUP(tblProduction[[#This Row],[Product]],tblProducts[Product],tblProducts[Target_Units],"Not Found")</f>
        <v>1000</v>
      </c>
    </row>
    <row r="985" spans="1:12" x14ac:dyDescent="0.3">
      <c r="A985" s="1">
        <v>46133</v>
      </c>
      <c r="B985" t="s">
        <v>17</v>
      </c>
      <c r="C985" t="s">
        <v>10</v>
      </c>
      <c r="D985" t="s">
        <v>14</v>
      </c>
      <c r="E985">
        <v>663</v>
      </c>
      <c r="F985">
        <v>28</v>
      </c>
      <c r="G985">
        <v>90</v>
      </c>
      <c r="H985">
        <v>635</v>
      </c>
      <c r="I985">
        <v>4.2232277526395174</v>
      </c>
      <c r="J985">
        <v>95.776772247360483</v>
      </c>
      <c r="K985" t="str">
        <f>_xlfn.XLOOKUP(tblProduction[[#This Row],[Product]],tblProducts[Product],tblProducts[Category],"Not Found")</f>
        <v>Assembly</v>
      </c>
      <c r="L985">
        <f>_xlfn.XLOOKUP(tblProduction[[#This Row],[Product]],tblProducts[Product],tblProducts[Target_Units],"Not Found")</f>
        <v>850</v>
      </c>
    </row>
    <row r="986" spans="1:12" x14ac:dyDescent="0.3">
      <c r="A986" s="1">
        <v>46133</v>
      </c>
      <c r="B986" t="s">
        <v>17</v>
      </c>
      <c r="C986" t="s">
        <v>12</v>
      </c>
      <c r="D986" t="s">
        <v>18</v>
      </c>
      <c r="E986">
        <v>699</v>
      </c>
      <c r="F986">
        <v>24</v>
      </c>
      <c r="G986">
        <v>58</v>
      </c>
      <c r="H986">
        <v>675</v>
      </c>
      <c r="I986">
        <v>3.433476394849786</v>
      </c>
      <c r="J986">
        <v>96.566523605150209</v>
      </c>
      <c r="K986" t="str">
        <f>_xlfn.XLOOKUP(tblProduction[[#This Row],[Product]],tblProducts[Product],tblProducts[Category],"Not Found")</f>
        <v>Assembly</v>
      </c>
      <c r="L986">
        <f>_xlfn.XLOOKUP(tblProduction[[#This Row],[Product]],tblProducts[Product],tblProducts[Target_Units],"Not Found")</f>
        <v>900</v>
      </c>
    </row>
    <row r="987" spans="1:12" x14ac:dyDescent="0.3">
      <c r="A987" s="1">
        <v>46133</v>
      </c>
      <c r="B987" t="s">
        <v>17</v>
      </c>
      <c r="C987" t="s">
        <v>13</v>
      </c>
      <c r="D987" t="s">
        <v>14</v>
      </c>
      <c r="E987">
        <v>610</v>
      </c>
      <c r="F987">
        <v>32</v>
      </c>
      <c r="G987">
        <v>61</v>
      </c>
      <c r="H987">
        <v>578</v>
      </c>
      <c r="I987">
        <v>5.2459016393442619</v>
      </c>
      <c r="J987">
        <v>94.754098360655732</v>
      </c>
      <c r="K987" t="str">
        <f>_xlfn.XLOOKUP(tblProduction[[#This Row],[Product]],tblProducts[Product],tblProducts[Category],"Not Found")</f>
        <v>Assembly</v>
      </c>
      <c r="L987">
        <f>_xlfn.XLOOKUP(tblProduction[[#This Row],[Product]],tblProducts[Product],tblProducts[Target_Units],"Not Found")</f>
        <v>850</v>
      </c>
    </row>
    <row r="988" spans="1:12" x14ac:dyDescent="0.3">
      <c r="A988" s="1">
        <v>46134</v>
      </c>
      <c r="B988" t="s">
        <v>9</v>
      </c>
      <c r="C988" t="s">
        <v>10</v>
      </c>
      <c r="D988" t="s">
        <v>14</v>
      </c>
      <c r="E988">
        <v>867</v>
      </c>
      <c r="F988">
        <v>19</v>
      </c>
      <c r="G988">
        <v>30</v>
      </c>
      <c r="H988">
        <v>848</v>
      </c>
      <c r="I988">
        <v>2.1914648212226071</v>
      </c>
      <c r="J988">
        <v>97.80853517877739</v>
      </c>
      <c r="K988" t="str">
        <f>_xlfn.XLOOKUP(tblProduction[[#This Row],[Product]],tblProducts[Product],tblProducts[Category],"Not Found")</f>
        <v>Assembly</v>
      </c>
      <c r="L988">
        <f>_xlfn.XLOOKUP(tblProduction[[#This Row],[Product]],tblProducts[Product],tblProducts[Target_Units],"Not Found")</f>
        <v>850</v>
      </c>
    </row>
    <row r="989" spans="1:12" x14ac:dyDescent="0.3">
      <c r="A989" s="1">
        <v>46134</v>
      </c>
      <c r="B989" t="s">
        <v>9</v>
      </c>
      <c r="C989" t="s">
        <v>12</v>
      </c>
      <c r="D989" t="s">
        <v>18</v>
      </c>
      <c r="E989">
        <v>786</v>
      </c>
      <c r="F989">
        <v>11</v>
      </c>
      <c r="G989">
        <v>84</v>
      </c>
      <c r="H989">
        <v>775</v>
      </c>
      <c r="I989">
        <v>1.3994910941475831</v>
      </c>
      <c r="J989">
        <v>98.600508905852408</v>
      </c>
      <c r="K989" t="str">
        <f>_xlfn.XLOOKUP(tblProduction[[#This Row],[Product]],tblProducts[Product],tblProducts[Category],"Not Found")</f>
        <v>Assembly</v>
      </c>
      <c r="L989">
        <f>_xlfn.XLOOKUP(tblProduction[[#This Row],[Product]],tblProducts[Product],tblProducts[Target_Units],"Not Found")</f>
        <v>900</v>
      </c>
    </row>
    <row r="990" spans="1:12" x14ac:dyDescent="0.3">
      <c r="A990" s="1">
        <v>46134</v>
      </c>
      <c r="B990" t="s">
        <v>9</v>
      </c>
      <c r="C990" t="s">
        <v>13</v>
      </c>
      <c r="D990" t="s">
        <v>11</v>
      </c>
      <c r="E990">
        <v>853</v>
      </c>
      <c r="F990">
        <v>21</v>
      </c>
      <c r="G990">
        <v>38</v>
      </c>
      <c r="H990">
        <v>832</v>
      </c>
      <c r="I990">
        <v>2.4618991793669398</v>
      </c>
      <c r="J990">
        <v>97.538100820633062</v>
      </c>
      <c r="K990" t="str">
        <f>_xlfn.XLOOKUP(tblProduction[[#This Row],[Product]],tblProducts[Product],tblProducts[Category],"Not Found")</f>
        <v>Precision</v>
      </c>
      <c r="L990">
        <f>_xlfn.XLOOKUP(tblProduction[[#This Row],[Product]],tblProducts[Product],tblProducts[Target_Units],"Not Found")</f>
        <v>950</v>
      </c>
    </row>
    <row r="991" spans="1:12" x14ac:dyDescent="0.3">
      <c r="A991" s="1">
        <v>46134</v>
      </c>
      <c r="B991" t="s">
        <v>15</v>
      </c>
      <c r="C991" t="s">
        <v>10</v>
      </c>
      <c r="D991" t="s">
        <v>14</v>
      </c>
      <c r="E991">
        <v>857</v>
      </c>
      <c r="F991">
        <v>28</v>
      </c>
      <c r="G991">
        <v>10</v>
      </c>
      <c r="H991">
        <v>829</v>
      </c>
      <c r="I991">
        <v>3.2672112018669779</v>
      </c>
      <c r="J991">
        <v>96.732788798133015</v>
      </c>
      <c r="K991" t="str">
        <f>_xlfn.XLOOKUP(tblProduction[[#This Row],[Product]],tblProducts[Product],tblProducts[Category],"Not Found")</f>
        <v>Assembly</v>
      </c>
      <c r="L991">
        <f>_xlfn.XLOOKUP(tblProduction[[#This Row],[Product]],tblProducts[Product],tblProducts[Target_Units],"Not Found")</f>
        <v>850</v>
      </c>
    </row>
    <row r="992" spans="1:12" x14ac:dyDescent="0.3">
      <c r="A992" s="1">
        <v>46134</v>
      </c>
      <c r="B992" t="s">
        <v>15</v>
      </c>
      <c r="C992" t="s">
        <v>12</v>
      </c>
      <c r="D992" t="s">
        <v>18</v>
      </c>
      <c r="E992">
        <v>838</v>
      </c>
      <c r="F992">
        <v>20</v>
      </c>
      <c r="G992">
        <v>22</v>
      </c>
      <c r="H992">
        <v>818</v>
      </c>
      <c r="I992">
        <v>2.3866348448687349</v>
      </c>
      <c r="J992">
        <v>97.613365155131262</v>
      </c>
      <c r="K992" t="str">
        <f>_xlfn.XLOOKUP(tblProduction[[#This Row],[Product]],tblProducts[Product],tblProducts[Category],"Not Found")</f>
        <v>Assembly</v>
      </c>
      <c r="L992">
        <f>_xlfn.XLOOKUP(tblProduction[[#This Row],[Product]],tblProducts[Product],tblProducts[Target_Units],"Not Found")</f>
        <v>900</v>
      </c>
    </row>
    <row r="993" spans="1:12" x14ac:dyDescent="0.3">
      <c r="A993" s="1">
        <v>46134</v>
      </c>
      <c r="B993" t="s">
        <v>15</v>
      </c>
      <c r="C993" t="s">
        <v>13</v>
      </c>
      <c r="D993" t="s">
        <v>16</v>
      </c>
      <c r="E993">
        <v>814</v>
      </c>
      <c r="F993">
        <v>28</v>
      </c>
      <c r="G993">
        <v>30</v>
      </c>
      <c r="H993">
        <v>786</v>
      </c>
      <c r="I993">
        <v>3.4398034398034398</v>
      </c>
      <c r="J993">
        <v>96.560196560196559</v>
      </c>
      <c r="K993" t="str">
        <f>_xlfn.XLOOKUP(tblProduction[[#This Row],[Product]],tblProducts[Product],tblProducts[Category],"Not Found")</f>
        <v>Standard</v>
      </c>
      <c r="L993">
        <f>_xlfn.XLOOKUP(tblProduction[[#This Row],[Product]],tblProducts[Product],tblProducts[Target_Units],"Not Found")</f>
        <v>1000</v>
      </c>
    </row>
    <row r="994" spans="1:12" x14ac:dyDescent="0.3">
      <c r="A994" s="1">
        <v>46134</v>
      </c>
      <c r="B994" t="s">
        <v>17</v>
      </c>
      <c r="C994" t="s">
        <v>10</v>
      </c>
      <c r="D994" t="s">
        <v>16</v>
      </c>
      <c r="E994">
        <v>739</v>
      </c>
      <c r="F994">
        <v>25</v>
      </c>
      <c r="G994">
        <v>84</v>
      </c>
      <c r="H994">
        <v>714</v>
      </c>
      <c r="I994">
        <v>3.3829499323410008</v>
      </c>
      <c r="J994">
        <v>96.617050067658994</v>
      </c>
      <c r="K994" t="str">
        <f>_xlfn.XLOOKUP(tblProduction[[#This Row],[Product]],tblProducts[Product],tblProducts[Category],"Not Found")</f>
        <v>Standard</v>
      </c>
      <c r="L994">
        <f>_xlfn.XLOOKUP(tblProduction[[#This Row],[Product]],tblProducts[Product],tblProducts[Target_Units],"Not Found")</f>
        <v>1000</v>
      </c>
    </row>
    <row r="995" spans="1:12" x14ac:dyDescent="0.3">
      <c r="A995" s="1">
        <v>46134</v>
      </c>
      <c r="B995" t="s">
        <v>17</v>
      </c>
      <c r="C995" t="s">
        <v>12</v>
      </c>
      <c r="D995" t="s">
        <v>16</v>
      </c>
      <c r="E995">
        <v>853</v>
      </c>
      <c r="F995">
        <v>29</v>
      </c>
      <c r="G995">
        <v>23</v>
      </c>
      <c r="H995">
        <v>824</v>
      </c>
      <c r="I995">
        <v>3.3997655334114891</v>
      </c>
      <c r="J995">
        <v>96.600234466588503</v>
      </c>
      <c r="K995" t="str">
        <f>_xlfn.XLOOKUP(tblProduction[[#This Row],[Product]],tblProducts[Product],tblProducts[Category],"Not Found")</f>
        <v>Standard</v>
      </c>
      <c r="L995">
        <f>_xlfn.XLOOKUP(tblProduction[[#This Row],[Product]],tblProducts[Product],tblProducts[Target_Units],"Not Found")</f>
        <v>1000</v>
      </c>
    </row>
    <row r="996" spans="1:12" x14ac:dyDescent="0.3">
      <c r="A996" s="1">
        <v>46134</v>
      </c>
      <c r="B996" t="s">
        <v>17</v>
      </c>
      <c r="C996" t="s">
        <v>13</v>
      </c>
      <c r="D996" t="s">
        <v>14</v>
      </c>
      <c r="E996">
        <v>614</v>
      </c>
      <c r="F996">
        <v>32</v>
      </c>
      <c r="G996">
        <v>41</v>
      </c>
      <c r="H996">
        <v>582</v>
      </c>
      <c r="I996">
        <v>5.2117263843648214</v>
      </c>
      <c r="J996">
        <v>94.788273615635177</v>
      </c>
      <c r="K996" t="str">
        <f>_xlfn.XLOOKUP(tblProduction[[#This Row],[Product]],tblProducts[Product],tblProducts[Category],"Not Found")</f>
        <v>Assembly</v>
      </c>
      <c r="L996">
        <f>_xlfn.XLOOKUP(tblProduction[[#This Row],[Product]],tblProducts[Product],tblProducts[Target_Units],"Not Found")</f>
        <v>850</v>
      </c>
    </row>
    <row r="997" spans="1:12" x14ac:dyDescent="0.3">
      <c r="A997" s="1">
        <v>46135</v>
      </c>
      <c r="B997" t="s">
        <v>9</v>
      </c>
      <c r="C997" t="s">
        <v>10</v>
      </c>
      <c r="D997" t="s">
        <v>16</v>
      </c>
      <c r="E997">
        <v>1003</v>
      </c>
      <c r="F997">
        <v>15</v>
      </c>
      <c r="G997">
        <v>48</v>
      </c>
      <c r="H997">
        <v>988</v>
      </c>
      <c r="I997">
        <v>1.495513459621137</v>
      </c>
      <c r="J997">
        <v>98.504486540378863</v>
      </c>
      <c r="K997" t="str">
        <f>_xlfn.XLOOKUP(tblProduction[[#This Row],[Product]],tblProducts[Product],tblProducts[Category],"Not Found")</f>
        <v>Standard</v>
      </c>
      <c r="L997">
        <f>_xlfn.XLOOKUP(tblProduction[[#This Row],[Product]],tblProducts[Product],tblProducts[Target_Units],"Not Found")</f>
        <v>1000</v>
      </c>
    </row>
    <row r="998" spans="1:12" x14ac:dyDescent="0.3">
      <c r="A998" s="1">
        <v>46135</v>
      </c>
      <c r="B998" t="s">
        <v>9</v>
      </c>
      <c r="C998" t="s">
        <v>12</v>
      </c>
      <c r="D998" t="s">
        <v>16</v>
      </c>
      <c r="E998">
        <v>959</v>
      </c>
      <c r="F998">
        <v>14</v>
      </c>
      <c r="G998">
        <v>36</v>
      </c>
      <c r="H998">
        <v>945</v>
      </c>
      <c r="I998">
        <v>1.4598540145985399</v>
      </c>
      <c r="J998">
        <v>98.540145985401466</v>
      </c>
      <c r="K998" t="str">
        <f>_xlfn.XLOOKUP(tblProduction[[#This Row],[Product]],tblProducts[Product],tblProducts[Category],"Not Found")</f>
        <v>Standard</v>
      </c>
      <c r="L998">
        <f>_xlfn.XLOOKUP(tblProduction[[#This Row],[Product]],tblProducts[Product],tblProducts[Target_Units],"Not Found")</f>
        <v>1000</v>
      </c>
    </row>
    <row r="999" spans="1:12" x14ac:dyDescent="0.3">
      <c r="A999" s="1">
        <v>46135</v>
      </c>
      <c r="B999" t="s">
        <v>9</v>
      </c>
      <c r="C999" t="s">
        <v>13</v>
      </c>
      <c r="D999" t="s">
        <v>11</v>
      </c>
      <c r="E999">
        <v>808</v>
      </c>
      <c r="F999">
        <v>20</v>
      </c>
      <c r="G999">
        <v>90</v>
      </c>
      <c r="H999">
        <v>788</v>
      </c>
      <c r="I999">
        <v>2.4752475247524748</v>
      </c>
      <c r="J999">
        <v>97.524752475247524</v>
      </c>
      <c r="K999" t="str">
        <f>_xlfn.XLOOKUP(tblProduction[[#This Row],[Product]],tblProducts[Product],tblProducts[Category],"Not Found")</f>
        <v>Precision</v>
      </c>
      <c r="L999">
        <f>_xlfn.XLOOKUP(tblProduction[[#This Row],[Product]],tblProducts[Product],tblProducts[Target_Units],"Not Found")</f>
        <v>950</v>
      </c>
    </row>
    <row r="1000" spans="1:12" x14ac:dyDescent="0.3">
      <c r="A1000" s="1">
        <v>46135</v>
      </c>
      <c r="B1000" t="s">
        <v>15</v>
      </c>
      <c r="C1000" t="s">
        <v>10</v>
      </c>
      <c r="D1000" t="s">
        <v>16</v>
      </c>
      <c r="E1000">
        <v>968</v>
      </c>
      <c r="F1000">
        <v>24</v>
      </c>
      <c r="G1000">
        <v>46</v>
      </c>
      <c r="H1000">
        <v>944</v>
      </c>
      <c r="I1000">
        <v>2.4793388429752068</v>
      </c>
      <c r="J1000">
        <v>97.52066115702479</v>
      </c>
      <c r="K1000" t="str">
        <f>_xlfn.XLOOKUP(tblProduction[[#This Row],[Product]],tblProducts[Product],tblProducts[Category],"Not Found")</f>
        <v>Standard</v>
      </c>
      <c r="L1000">
        <f>_xlfn.XLOOKUP(tblProduction[[#This Row],[Product]],tblProducts[Product],tblProducts[Target_Units],"Not Found")</f>
        <v>1000</v>
      </c>
    </row>
    <row r="1001" spans="1:12" x14ac:dyDescent="0.3">
      <c r="A1001" s="1">
        <v>46135</v>
      </c>
      <c r="B1001" t="s">
        <v>15</v>
      </c>
      <c r="C1001" t="s">
        <v>12</v>
      </c>
      <c r="D1001" t="s">
        <v>11</v>
      </c>
      <c r="E1001">
        <v>794</v>
      </c>
      <c r="F1001">
        <v>19</v>
      </c>
      <c r="G1001">
        <v>56</v>
      </c>
      <c r="H1001">
        <v>775</v>
      </c>
      <c r="I1001">
        <v>2.3929471032745591</v>
      </c>
      <c r="J1001">
        <v>97.607052896725449</v>
      </c>
      <c r="K1001" t="str">
        <f>_xlfn.XLOOKUP(tblProduction[[#This Row],[Product]],tblProducts[Product],tblProducts[Category],"Not Found")</f>
        <v>Precision</v>
      </c>
      <c r="L1001">
        <f>_xlfn.XLOOKUP(tblProduction[[#This Row],[Product]],tblProducts[Product],tblProducts[Target_Units],"Not Found")</f>
        <v>950</v>
      </c>
    </row>
    <row r="1002" spans="1:12" x14ac:dyDescent="0.3">
      <c r="A1002" s="1">
        <v>46135</v>
      </c>
      <c r="B1002" t="s">
        <v>15</v>
      </c>
      <c r="C1002" t="s">
        <v>13</v>
      </c>
      <c r="D1002" t="s">
        <v>11</v>
      </c>
      <c r="E1002">
        <v>778</v>
      </c>
      <c r="F1002">
        <v>27</v>
      </c>
      <c r="G1002">
        <v>62</v>
      </c>
      <c r="H1002">
        <v>751</v>
      </c>
      <c r="I1002">
        <v>3.4704370179948589</v>
      </c>
      <c r="J1002">
        <v>96.529562982005146</v>
      </c>
      <c r="K1002" t="str">
        <f>_xlfn.XLOOKUP(tblProduction[[#This Row],[Product]],tblProducts[Product],tblProducts[Category],"Not Found")</f>
        <v>Precision</v>
      </c>
      <c r="L1002">
        <f>_xlfn.XLOOKUP(tblProduction[[#This Row],[Product]],tblProducts[Product],tblProducts[Target_Units],"Not Found")</f>
        <v>950</v>
      </c>
    </row>
    <row r="1003" spans="1:12" x14ac:dyDescent="0.3">
      <c r="A1003" s="1">
        <v>46135</v>
      </c>
      <c r="B1003" t="s">
        <v>17</v>
      </c>
      <c r="C1003" t="s">
        <v>10</v>
      </c>
      <c r="D1003" t="s">
        <v>14</v>
      </c>
      <c r="E1003">
        <v>689</v>
      </c>
      <c r="F1003">
        <v>29</v>
      </c>
      <c r="G1003">
        <v>35</v>
      </c>
      <c r="H1003">
        <v>660</v>
      </c>
      <c r="I1003">
        <v>4.2089985486211896</v>
      </c>
      <c r="J1003">
        <v>95.791001451378804</v>
      </c>
      <c r="K1003" t="str">
        <f>_xlfn.XLOOKUP(tblProduction[[#This Row],[Product]],tblProducts[Product],tblProducts[Category],"Not Found")</f>
        <v>Assembly</v>
      </c>
      <c r="L1003">
        <f>_xlfn.XLOOKUP(tblProduction[[#This Row],[Product]],tblProducts[Product],tblProducts[Target_Units],"Not Found")</f>
        <v>850</v>
      </c>
    </row>
    <row r="1004" spans="1:12" x14ac:dyDescent="0.3">
      <c r="A1004" s="1">
        <v>46135</v>
      </c>
      <c r="B1004" t="s">
        <v>17</v>
      </c>
      <c r="C1004" t="s">
        <v>12</v>
      </c>
      <c r="D1004" t="s">
        <v>16</v>
      </c>
      <c r="E1004">
        <v>832</v>
      </c>
      <c r="F1004">
        <v>29</v>
      </c>
      <c r="G1004">
        <v>10</v>
      </c>
      <c r="H1004">
        <v>803</v>
      </c>
      <c r="I1004">
        <v>3.4855769230769229</v>
      </c>
      <c r="J1004">
        <v>96.514423076923066</v>
      </c>
      <c r="K1004" t="str">
        <f>_xlfn.XLOOKUP(tblProduction[[#This Row],[Product]],tblProducts[Product],tblProducts[Category],"Not Found")</f>
        <v>Standard</v>
      </c>
      <c r="L1004">
        <f>_xlfn.XLOOKUP(tblProduction[[#This Row],[Product]],tblProducts[Product],tblProducts[Target_Units],"Not Found")</f>
        <v>1000</v>
      </c>
    </row>
    <row r="1005" spans="1:12" x14ac:dyDescent="0.3">
      <c r="A1005" s="1">
        <v>46135</v>
      </c>
      <c r="B1005" t="s">
        <v>17</v>
      </c>
      <c r="C1005" t="s">
        <v>13</v>
      </c>
      <c r="D1005" t="s">
        <v>14</v>
      </c>
      <c r="E1005">
        <v>656</v>
      </c>
      <c r="F1005">
        <v>34</v>
      </c>
      <c r="G1005">
        <v>29</v>
      </c>
      <c r="H1005">
        <v>622</v>
      </c>
      <c r="I1005">
        <v>5.1829268292682924</v>
      </c>
      <c r="J1005">
        <v>94.817073170731703</v>
      </c>
      <c r="K1005" t="str">
        <f>_xlfn.XLOOKUP(tblProduction[[#This Row],[Product]],tblProducts[Product],tblProducts[Category],"Not Found")</f>
        <v>Assembly</v>
      </c>
      <c r="L1005">
        <f>_xlfn.XLOOKUP(tblProduction[[#This Row],[Product]],tblProducts[Product],tblProducts[Target_Units],"Not Found")</f>
        <v>850</v>
      </c>
    </row>
    <row r="1006" spans="1:12" x14ac:dyDescent="0.3">
      <c r="A1006" s="1">
        <v>46136</v>
      </c>
      <c r="B1006" t="s">
        <v>9</v>
      </c>
      <c r="C1006" t="s">
        <v>10</v>
      </c>
      <c r="D1006" t="s">
        <v>18</v>
      </c>
      <c r="E1006">
        <v>1009</v>
      </c>
      <c r="F1006">
        <v>15</v>
      </c>
      <c r="G1006">
        <v>1</v>
      </c>
      <c r="H1006">
        <v>994</v>
      </c>
      <c r="I1006">
        <v>1.486620416253716</v>
      </c>
      <c r="J1006">
        <v>98.513379583746286</v>
      </c>
      <c r="K1006" t="str">
        <f>_xlfn.XLOOKUP(tblProduction[[#This Row],[Product]],tblProducts[Product],tblProducts[Category],"Not Found")</f>
        <v>Assembly</v>
      </c>
      <c r="L1006">
        <f>_xlfn.XLOOKUP(tblProduction[[#This Row],[Product]],tblProducts[Product],tblProducts[Target_Units],"Not Found")</f>
        <v>900</v>
      </c>
    </row>
    <row r="1007" spans="1:12" x14ac:dyDescent="0.3">
      <c r="A1007" s="1">
        <v>46136</v>
      </c>
      <c r="B1007" t="s">
        <v>9</v>
      </c>
      <c r="C1007" t="s">
        <v>12</v>
      </c>
      <c r="D1007" t="s">
        <v>14</v>
      </c>
      <c r="E1007">
        <v>737</v>
      </c>
      <c r="F1007">
        <v>16</v>
      </c>
      <c r="G1007">
        <v>79</v>
      </c>
      <c r="H1007">
        <v>721</v>
      </c>
      <c r="I1007">
        <v>2.1709633649932161</v>
      </c>
      <c r="J1007">
        <v>97.829036635006787</v>
      </c>
      <c r="K1007" t="str">
        <f>_xlfn.XLOOKUP(tblProduction[[#This Row],[Product]],tblProducts[Product],tblProducts[Category],"Not Found")</f>
        <v>Assembly</v>
      </c>
      <c r="L1007">
        <f>_xlfn.XLOOKUP(tblProduction[[#This Row],[Product]],tblProducts[Product],tblProducts[Target_Units],"Not Found")</f>
        <v>850</v>
      </c>
    </row>
    <row r="1008" spans="1:12" x14ac:dyDescent="0.3">
      <c r="A1008" s="1">
        <v>46136</v>
      </c>
      <c r="B1008" t="s">
        <v>9</v>
      </c>
      <c r="C1008" t="s">
        <v>13</v>
      </c>
      <c r="D1008" t="s">
        <v>18</v>
      </c>
      <c r="E1008">
        <v>786</v>
      </c>
      <c r="F1008">
        <v>19</v>
      </c>
      <c r="G1008">
        <v>62</v>
      </c>
      <c r="H1008">
        <v>767</v>
      </c>
      <c r="I1008">
        <v>2.4173027989821878</v>
      </c>
      <c r="J1008">
        <v>97.582697201017808</v>
      </c>
      <c r="K1008" t="str">
        <f>_xlfn.XLOOKUP(tblProduction[[#This Row],[Product]],tblProducts[Product],tblProducts[Category],"Not Found")</f>
        <v>Assembly</v>
      </c>
      <c r="L1008">
        <f>_xlfn.XLOOKUP(tblProduction[[#This Row],[Product]],tblProducts[Product],tblProducts[Target_Units],"Not Found")</f>
        <v>900</v>
      </c>
    </row>
    <row r="1009" spans="1:12" x14ac:dyDescent="0.3">
      <c r="A1009" s="1">
        <v>46136</v>
      </c>
      <c r="B1009" t="s">
        <v>15</v>
      </c>
      <c r="C1009" t="s">
        <v>10</v>
      </c>
      <c r="D1009" t="s">
        <v>18</v>
      </c>
      <c r="E1009">
        <v>857</v>
      </c>
      <c r="F1009">
        <v>21</v>
      </c>
      <c r="G1009">
        <v>36</v>
      </c>
      <c r="H1009">
        <v>836</v>
      </c>
      <c r="I1009">
        <v>2.450408401400233</v>
      </c>
      <c r="J1009">
        <v>97.549591598599775</v>
      </c>
      <c r="K1009" t="str">
        <f>_xlfn.XLOOKUP(tblProduction[[#This Row],[Product]],tblProducts[Product],tblProducts[Category],"Not Found")</f>
        <v>Assembly</v>
      </c>
      <c r="L1009">
        <f>_xlfn.XLOOKUP(tblProduction[[#This Row],[Product]],tblProducts[Product],tblProducts[Target_Units],"Not Found")</f>
        <v>900</v>
      </c>
    </row>
    <row r="1010" spans="1:12" x14ac:dyDescent="0.3">
      <c r="A1010" s="1">
        <v>46136</v>
      </c>
      <c r="B1010" t="s">
        <v>15</v>
      </c>
      <c r="C1010" t="s">
        <v>12</v>
      </c>
      <c r="D1010" t="s">
        <v>16</v>
      </c>
      <c r="E1010">
        <v>897</v>
      </c>
      <c r="F1010">
        <v>22</v>
      </c>
      <c r="G1010">
        <v>44</v>
      </c>
      <c r="H1010">
        <v>875</v>
      </c>
      <c r="I1010">
        <v>2.4526198439241922</v>
      </c>
      <c r="J1010">
        <v>97.547380156075818</v>
      </c>
      <c r="K1010" t="str">
        <f>_xlfn.XLOOKUP(tblProduction[[#This Row],[Product]],tblProducts[Product],tblProducts[Category],"Not Found")</f>
        <v>Standard</v>
      </c>
      <c r="L1010">
        <f>_xlfn.XLOOKUP(tblProduction[[#This Row],[Product]],tblProducts[Product],tblProducts[Target_Units],"Not Found")</f>
        <v>1000</v>
      </c>
    </row>
    <row r="1011" spans="1:12" x14ac:dyDescent="0.3">
      <c r="A1011" s="1">
        <v>46136</v>
      </c>
      <c r="B1011" t="s">
        <v>15</v>
      </c>
      <c r="C1011" t="s">
        <v>13</v>
      </c>
      <c r="D1011" t="s">
        <v>11</v>
      </c>
      <c r="E1011">
        <v>750</v>
      </c>
      <c r="F1011">
        <v>26</v>
      </c>
      <c r="G1011">
        <v>59</v>
      </c>
      <c r="H1011">
        <v>724</v>
      </c>
      <c r="I1011">
        <v>3.4666666666666659</v>
      </c>
      <c r="J1011">
        <v>96.533333333333331</v>
      </c>
      <c r="K1011" t="str">
        <f>_xlfn.XLOOKUP(tblProduction[[#This Row],[Product]],tblProducts[Product],tblProducts[Category],"Not Found")</f>
        <v>Precision</v>
      </c>
      <c r="L1011">
        <f>_xlfn.XLOOKUP(tblProduction[[#This Row],[Product]],tblProducts[Product],tblProducts[Target_Units],"Not Found")</f>
        <v>950</v>
      </c>
    </row>
    <row r="1012" spans="1:12" x14ac:dyDescent="0.3">
      <c r="A1012" s="1">
        <v>46136</v>
      </c>
      <c r="B1012" t="s">
        <v>17</v>
      </c>
      <c r="C1012" t="s">
        <v>10</v>
      </c>
      <c r="D1012" t="s">
        <v>16</v>
      </c>
      <c r="E1012">
        <v>766</v>
      </c>
      <c r="F1012">
        <v>26</v>
      </c>
      <c r="G1012">
        <v>90</v>
      </c>
      <c r="H1012">
        <v>740</v>
      </c>
      <c r="I1012">
        <v>3.3942558746736302</v>
      </c>
      <c r="J1012">
        <v>96.605744125326382</v>
      </c>
      <c r="K1012" t="str">
        <f>_xlfn.XLOOKUP(tblProduction[[#This Row],[Product]],tblProducts[Product],tblProducts[Category],"Not Found")</f>
        <v>Standard</v>
      </c>
      <c r="L1012">
        <f>_xlfn.XLOOKUP(tblProduction[[#This Row],[Product]],tblProducts[Product],tblProducts[Target_Units],"Not Found")</f>
        <v>1000</v>
      </c>
    </row>
    <row r="1013" spans="1:12" x14ac:dyDescent="0.3">
      <c r="A1013" s="1">
        <v>46136</v>
      </c>
      <c r="B1013" t="s">
        <v>17</v>
      </c>
      <c r="C1013" t="s">
        <v>12</v>
      </c>
      <c r="D1013" t="s">
        <v>16</v>
      </c>
      <c r="E1013">
        <v>862</v>
      </c>
      <c r="F1013">
        <v>30</v>
      </c>
      <c r="G1013">
        <v>12</v>
      </c>
      <c r="H1013">
        <v>832</v>
      </c>
      <c r="I1013">
        <v>3.4802784222737819</v>
      </c>
      <c r="J1013">
        <v>96.519721577726216</v>
      </c>
      <c r="K1013" t="str">
        <f>_xlfn.XLOOKUP(tblProduction[[#This Row],[Product]],tblProducts[Product],tblProducts[Category],"Not Found")</f>
        <v>Standard</v>
      </c>
      <c r="L1013">
        <f>_xlfn.XLOOKUP(tblProduction[[#This Row],[Product]],tblProducts[Product],tblProducts[Target_Units],"Not Found")</f>
        <v>1000</v>
      </c>
    </row>
    <row r="1014" spans="1:12" x14ac:dyDescent="0.3">
      <c r="A1014" s="1">
        <v>46136</v>
      </c>
      <c r="B1014" t="s">
        <v>17</v>
      </c>
      <c r="C1014" t="s">
        <v>13</v>
      </c>
      <c r="D1014" t="s">
        <v>14</v>
      </c>
      <c r="E1014">
        <v>647</v>
      </c>
      <c r="F1014">
        <v>34</v>
      </c>
      <c r="G1014">
        <v>50</v>
      </c>
      <c r="H1014">
        <v>613</v>
      </c>
      <c r="I1014">
        <v>5.2550231839258119</v>
      </c>
      <c r="J1014">
        <v>94.744976816074185</v>
      </c>
      <c r="K1014" t="str">
        <f>_xlfn.XLOOKUP(tblProduction[[#This Row],[Product]],tblProducts[Product],tblProducts[Category],"Not Found")</f>
        <v>Assembly</v>
      </c>
      <c r="L1014">
        <f>_xlfn.XLOOKUP(tblProduction[[#This Row],[Product]],tblProducts[Product],tblProducts[Target_Units],"Not Found")</f>
        <v>850</v>
      </c>
    </row>
    <row r="1015" spans="1:12" x14ac:dyDescent="0.3">
      <c r="A1015" s="1">
        <v>46137</v>
      </c>
      <c r="B1015" t="s">
        <v>9</v>
      </c>
      <c r="C1015" t="s">
        <v>10</v>
      </c>
      <c r="D1015" t="s">
        <v>11</v>
      </c>
      <c r="E1015">
        <v>913</v>
      </c>
      <c r="F1015">
        <v>13</v>
      </c>
      <c r="G1015">
        <v>63</v>
      </c>
      <c r="H1015">
        <v>900</v>
      </c>
      <c r="I1015">
        <v>1.4238773274917851</v>
      </c>
      <c r="J1015">
        <v>98.57612267250822</v>
      </c>
      <c r="K1015" t="str">
        <f>_xlfn.XLOOKUP(tblProduction[[#This Row],[Product]],tblProducts[Product],tblProducts[Category],"Not Found")</f>
        <v>Precision</v>
      </c>
      <c r="L1015">
        <f>_xlfn.XLOOKUP(tblProduction[[#This Row],[Product]],tblProducts[Product],tblProducts[Target_Units],"Not Found")</f>
        <v>950</v>
      </c>
    </row>
    <row r="1016" spans="1:12" x14ac:dyDescent="0.3">
      <c r="A1016" s="1">
        <v>46137</v>
      </c>
      <c r="B1016" t="s">
        <v>9</v>
      </c>
      <c r="C1016" t="s">
        <v>12</v>
      </c>
      <c r="D1016" t="s">
        <v>14</v>
      </c>
      <c r="E1016">
        <v>817</v>
      </c>
      <c r="F1016">
        <v>18</v>
      </c>
      <c r="G1016">
        <v>26</v>
      </c>
      <c r="H1016">
        <v>799</v>
      </c>
      <c r="I1016">
        <v>2.203182374541004</v>
      </c>
      <c r="J1016">
        <v>97.796817625458999</v>
      </c>
      <c r="K1016" t="str">
        <f>_xlfn.XLOOKUP(tblProduction[[#This Row],[Product]],tblProducts[Product],tblProducts[Category],"Not Found")</f>
        <v>Assembly</v>
      </c>
      <c r="L1016">
        <f>_xlfn.XLOOKUP(tblProduction[[#This Row],[Product]],tblProducts[Product],tblProducts[Target_Units],"Not Found")</f>
        <v>850</v>
      </c>
    </row>
    <row r="1017" spans="1:12" x14ac:dyDescent="0.3">
      <c r="A1017" s="1">
        <v>46137</v>
      </c>
      <c r="B1017" t="s">
        <v>9</v>
      </c>
      <c r="C1017" t="s">
        <v>13</v>
      </c>
      <c r="D1017" t="s">
        <v>18</v>
      </c>
      <c r="E1017">
        <v>851</v>
      </c>
      <c r="F1017">
        <v>21</v>
      </c>
      <c r="G1017">
        <v>2</v>
      </c>
      <c r="H1017">
        <v>830</v>
      </c>
      <c r="I1017">
        <v>2.4676850763807279</v>
      </c>
      <c r="J1017">
        <v>97.532314923619268</v>
      </c>
      <c r="K1017" t="str">
        <f>_xlfn.XLOOKUP(tblProduction[[#This Row],[Product]],tblProducts[Product],tblProducts[Category],"Not Found")</f>
        <v>Assembly</v>
      </c>
      <c r="L1017">
        <f>_xlfn.XLOOKUP(tblProduction[[#This Row],[Product]],tblProducts[Product],tblProducts[Target_Units],"Not Found")</f>
        <v>900</v>
      </c>
    </row>
    <row r="1018" spans="1:12" x14ac:dyDescent="0.3">
      <c r="A1018" s="1">
        <v>46137</v>
      </c>
      <c r="B1018" t="s">
        <v>15</v>
      </c>
      <c r="C1018" t="s">
        <v>10</v>
      </c>
      <c r="D1018" t="s">
        <v>11</v>
      </c>
      <c r="E1018">
        <v>935</v>
      </c>
      <c r="F1018">
        <v>23</v>
      </c>
      <c r="G1018">
        <v>22</v>
      </c>
      <c r="H1018">
        <v>912</v>
      </c>
      <c r="I1018">
        <v>2.4598930481283419</v>
      </c>
      <c r="J1018">
        <v>97.54010695187165</v>
      </c>
      <c r="K1018" t="str">
        <f>_xlfn.XLOOKUP(tblProduction[[#This Row],[Product]],tblProducts[Product],tblProducts[Category],"Not Found")</f>
        <v>Precision</v>
      </c>
      <c r="L1018">
        <f>_xlfn.XLOOKUP(tblProduction[[#This Row],[Product]],tblProducts[Product],tblProducts[Target_Units],"Not Found")</f>
        <v>950</v>
      </c>
    </row>
    <row r="1019" spans="1:12" x14ac:dyDescent="0.3">
      <c r="A1019" s="1">
        <v>46137</v>
      </c>
      <c r="B1019" t="s">
        <v>15</v>
      </c>
      <c r="C1019" t="s">
        <v>12</v>
      </c>
      <c r="D1019" t="s">
        <v>18</v>
      </c>
      <c r="E1019">
        <v>718</v>
      </c>
      <c r="F1019">
        <v>17</v>
      </c>
      <c r="G1019">
        <v>71</v>
      </c>
      <c r="H1019">
        <v>701</v>
      </c>
      <c r="I1019">
        <v>2.3676880222841219</v>
      </c>
      <c r="J1019">
        <v>97.632311977715887</v>
      </c>
      <c r="K1019" t="str">
        <f>_xlfn.XLOOKUP(tblProduction[[#This Row],[Product]],tblProducts[Product],tblProducts[Category],"Not Found")</f>
        <v>Assembly</v>
      </c>
      <c r="L1019">
        <f>_xlfn.XLOOKUP(tblProduction[[#This Row],[Product]],tblProducts[Product],tblProducts[Target_Units],"Not Found")</f>
        <v>900</v>
      </c>
    </row>
    <row r="1020" spans="1:12" x14ac:dyDescent="0.3">
      <c r="A1020" s="1">
        <v>46137</v>
      </c>
      <c r="B1020" t="s">
        <v>15</v>
      </c>
      <c r="C1020" t="s">
        <v>13</v>
      </c>
      <c r="D1020" t="s">
        <v>11</v>
      </c>
      <c r="E1020">
        <v>799</v>
      </c>
      <c r="F1020">
        <v>27</v>
      </c>
      <c r="G1020">
        <v>4</v>
      </c>
      <c r="H1020">
        <v>772</v>
      </c>
      <c r="I1020">
        <v>3.3792240300375469</v>
      </c>
      <c r="J1020">
        <v>96.620775969962452</v>
      </c>
      <c r="K1020" t="str">
        <f>_xlfn.XLOOKUP(tblProduction[[#This Row],[Product]],tblProducts[Product],tblProducts[Category],"Not Found")</f>
        <v>Precision</v>
      </c>
      <c r="L1020">
        <f>_xlfn.XLOOKUP(tblProduction[[#This Row],[Product]],tblProducts[Product],tblProducts[Target_Units],"Not Found")</f>
        <v>950</v>
      </c>
    </row>
    <row r="1021" spans="1:12" x14ac:dyDescent="0.3">
      <c r="A1021" s="1">
        <v>46137</v>
      </c>
      <c r="B1021" t="s">
        <v>17</v>
      </c>
      <c r="C1021" t="s">
        <v>10</v>
      </c>
      <c r="D1021" t="s">
        <v>14</v>
      </c>
      <c r="E1021">
        <v>786</v>
      </c>
      <c r="F1021">
        <v>33</v>
      </c>
      <c r="G1021">
        <v>11</v>
      </c>
      <c r="H1021">
        <v>753</v>
      </c>
      <c r="I1021">
        <v>4.1984732824427482</v>
      </c>
      <c r="J1021">
        <v>95.801526717557252</v>
      </c>
      <c r="K1021" t="str">
        <f>_xlfn.XLOOKUP(tblProduction[[#This Row],[Product]],tblProducts[Product],tblProducts[Category],"Not Found")</f>
        <v>Assembly</v>
      </c>
      <c r="L1021">
        <f>_xlfn.XLOOKUP(tblProduction[[#This Row],[Product]],tblProducts[Product],tblProducts[Target_Units],"Not Found")</f>
        <v>850</v>
      </c>
    </row>
    <row r="1022" spans="1:12" x14ac:dyDescent="0.3">
      <c r="A1022" s="1">
        <v>46137</v>
      </c>
      <c r="B1022" t="s">
        <v>17</v>
      </c>
      <c r="C1022" t="s">
        <v>12</v>
      </c>
      <c r="D1022" t="s">
        <v>11</v>
      </c>
      <c r="E1022">
        <v>713</v>
      </c>
      <c r="F1022">
        <v>24</v>
      </c>
      <c r="G1022">
        <v>60</v>
      </c>
      <c r="H1022">
        <v>689</v>
      </c>
      <c r="I1022">
        <v>3.366058906030855</v>
      </c>
      <c r="J1022">
        <v>96.633941093969142</v>
      </c>
      <c r="K1022" t="str">
        <f>_xlfn.XLOOKUP(tblProduction[[#This Row],[Product]],tblProducts[Product],tblProducts[Category],"Not Found")</f>
        <v>Precision</v>
      </c>
      <c r="L1022">
        <f>_xlfn.XLOOKUP(tblProduction[[#This Row],[Product]],tblProducts[Product],tblProducts[Target_Units],"Not Found")</f>
        <v>950</v>
      </c>
    </row>
    <row r="1023" spans="1:12" x14ac:dyDescent="0.3">
      <c r="A1023" s="1">
        <v>46137</v>
      </c>
      <c r="B1023" t="s">
        <v>17</v>
      </c>
      <c r="C1023" t="s">
        <v>13</v>
      </c>
      <c r="D1023" t="s">
        <v>16</v>
      </c>
      <c r="E1023">
        <v>710</v>
      </c>
      <c r="F1023">
        <v>31</v>
      </c>
      <c r="G1023">
        <v>59</v>
      </c>
      <c r="H1023">
        <v>679</v>
      </c>
      <c r="I1023">
        <v>4.3661971830985911</v>
      </c>
      <c r="J1023">
        <v>95.633802816901408</v>
      </c>
      <c r="K1023" t="str">
        <f>_xlfn.XLOOKUP(tblProduction[[#This Row],[Product]],tblProducts[Product],tblProducts[Category],"Not Found")</f>
        <v>Standard</v>
      </c>
      <c r="L1023">
        <f>_xlfn.XLOOKUP(tblProduction[[#This Row],[Product]],tblProducts[Product],tblProducts[Target_Units],"Not Found")</f>
        <v>1000</v>
      </c>
    </row>
    <row r="1024" spans="1:12" x14ac:dyDescent="0.3">
      <c r="A1024" s="1">
        <v>46138</v>
      </c>
      <c r="B1024" t="s">
        <v>9</v>
      </c>
      <c r="C1024" t="s">
        <v>10</v>
      </c>
      <c r="D1024" t="s">
        <v>11</v>
      </c>
      <c r="E1024">
        <v>971</v>
      </c>
      <c r="F1024">
        <v>14</v>
      </c>
      <c r="G1024">
        <v>50</v>
      </c>
      <c r="H1024">
        <v>957</v>
      </c>
      <c r="I1024">
        <v>1.441812564366632</v>
      </c>
      <c r="J1024">
        <v>98.558187435633371</v>
      </c>
      <c r="K1024" t="str">
        <f>_xlfn.XLOOKUP(tblProduction[[#This Row],[Product]],tblProducts[Product],tblProducts[Category],"Not Found")</f>
        <v>Precision</v>
      </c>
      <c r="L1024">
        <f>_xlfn.XLOOKUP(tblProduction[[#This Row],[Product]],tblProducts[Product],tblProducts[Target_Units],"Not Found")</f>
        <v>950</v>
      </c>
    </row>
    <row r="1025" spans="1:12" x14ac:dyDescent="0.3">
      <c r="A1025" s="1">
        <v>46138</v>
      </c>
      <c r="B1025" t="s">
        <v>9</v>
      </c>
      <c r="C1025" t="s">
        <v>12</v>
      </c>
      <c r="D1025" t="s">
        <v>16</v>
      </c>
      <c r="E1025">
        <v>948</v>
      </c>
      <c r="F1025">
        <v>14</v>
      </c>
      <c r="G1025">
        <v>80</v>
      </c>
      <c r="H1025">
        <v>934</v>
      </c>
      <c r="I1025">
        <v>1.4767932489451481</v>
      </c>
      <c r="J1025">
        <v>98.523206751054843</v>
      </c>
      <c r="K1025" t="str">
        <f>_xlfn.XLOOKUP(tblProduction[[#This Row],[Product]],tblProducts[Product],tblProducts[Category],"Not Found")</f>
        <v>Standard</v>
      </c>
      <c r="L1025">
        <f>_xlfn.XLOOKUP(tblProduction[[#This Row],[Product]],tblProducts[Product],tblProducts[Target_Units],"Not Found")</f>
        <v>1000</v>
      </c>
    </row>
    <row r="1026" spans="1:12" x14ac:dyDescent="0.3">
      <c r="A1026" s="1">
        <v>46138</v>
      </c>
      <c r="B1026" t="s">
        <v>9</v>
      </c>
      <c r="C1026" t="s">
        <v>13</v>
      </c>
      <c r="D1026" t="s">
        <v>11</v>
      </c>
      <c r="E1026">
        <v>793</v>
      </c>
      <c r="F1026">
        <v>19</v>
      </c>
      <c r="G1026">
        <v>57</v>
      </c>
      <c r="H1026">
        <v>774</v>
      </c>
      <c r="I1026">
        <v>2.3959646910466579</v>
      </c>
      <c r="J1026">
        <v>97.604035308953343</v>
      </c>
      <c r="K1026" t="str">
        <f>_xlfn.XLOOKUP(tblProduction[[#This Row],[Product]],tblProducts[Product],tblProducts[Category],"Not Found")</f>
        <v>Precision</v>
      </c>
      <c r="L1026">
        <f>_xlfn.XLOOKUP(tblProduction[[#This Row],[Product]],tblProducts[Product],tblProducts[Target_Units],"Not Found")</f>
        <v>950</v>
      </c>
    </row>
    <row r="1027" spans="1:12" x14ac:dyDescent="0.3">
      <c r="A1027" s="1">
        <v>46138</v>
      </c>
      <c r="B1027" t="s">
        <v>15</v>
      </c>
      <c r="C1027" t="s">
        <v>10</v>
      </c>
      <c r="D1027" t="s">
        <v>18</v>
      </c>
      <c r="E1027">
        <v>830</v>
      </c>
      <c r="F1027">
        <v>20</v>
      </c>
      <c r="G1027">
        <v>70</v>
      </c>
      <c r="H1027">
        <v>810</v>
      </c>
      <c r="I1027">
        <v>2.4096385542168681</v>
      </c>
      <c r="J1027">
        <v>97.590361445783131</v>
      </c>
      <c r="K1027" t="str">
        <f>_xlfn.XLOOKUP(tblProduction[[#This Row],[Product]],tblProducts[Product],tblProducts[Category],"Not Found")</f>
        <v>Assembly</v>
      </c>
      <c r="L1027">
        <f>_xlfn.XLOOKUP(tblProduction[[#This Row],[Product]],tblProducts[Product],tblProducts[Target_Units],"Not Found")</f>
        <v>900</v>
      </c>
    </row>
    <row r="1028" spans="1:12" x14ac:dyDescent="0.3">
      <c r="A1028" s="1">
        <v>46138</v>
      </c>
      <c r="B1028" t="s">
        <v>15</v>
      </c>
      <c r="C1028" t="s">
        <v>12</v>
      </c>
      <c r="D1028" t="s">
        <v>11</v>
      </c>
      <c r="E1028">
        <v>752</v>
      </c>
      <c r="F1028">
        <v>18</v>
      </c>
      <c r="G1028">
        <v>78</v>
      </c>
      <c r="H1028">
        <v>734</v>
      </c>
      <c r="I1028">
        <v>2.3936170212765959</v>
      </c>
      <c r="J1028">
        <v>97.606382978723403</v>
      </c>
      <c r="K1028" t="str">
        <f>_xlfn.XLOOKUP(tblProduction[[#This Row],[Product]],tblProducts[Product],tblProducts[Category],"Not Found")</f>
        <v>Precision</v>
      </c>
      <c r="L1028">
        <f>_xlfn.XLOOKUP(tblProduction[[#This Row],[Product]],tblProducts[Product],tblProducts[Target_Units],"Not Found")</f>
        <v>950</v>
      </c>
    </row>
    <row r="1029" spans="1:12" x14ac:dyDescent="0.3">
      <c r="A1029" s="1">
        <v>46138</v>
      </c>
      <c r="B1029" t="s">
        <v>15</v>
      </c>
      <c r="C1029" t="s">
        <v>13</v>
      </c>
      <c r="D1029" t="s">
        <v>11</v>
      </c>
      <c r="E1029">
        <v>744</v>
      </c>
      <c r="F1029">
        <v>26</v>
      </c>
      <c r="G1029">
        <v>42</v>
      </c>
      <c r="H1029">
        <v>718</v>
      </c>
      <c r="I1029">
        <v>3.4946236559139781</v>
      </c>
      <c r="J1029">
        <v>96.505376344086031</v>
      </c>
      <c r="K1029" t="str">
        <f>_xlfn.XLOOKUP(tblProduction[[#This Row],[Product]],tblProducts[Product],tblProducts[Category],"Not Found")</f>
        <v>Precision</v>
      </c>
      <c r="L1029">
        <f>_xlfn.XLOOKUP(tblProduction[[#This Row],[Product]],tblProducts[Product],tblProducts[Target_Units],"Not Found")</f>
        <v>950</v>
      </c>
    </row>
    <row r="1030" spans="1:12" x14ac:dyDescent="0.3">
      <c r="A1030" s="1">
        <v>46138</v>
      </c>
      <c r="B1030" t="s">
        <v>17</v>
      </c>
      <c r="C1030" t="s">
        <v>10</v>
      </c>
      <c r="D1030" t="s">
        <v>11</v>
      </c>
      <c r="E1030">
        <v>833</v>
      </c>
      <c r="F1030">
        <v>29</v>
      </c>
      <c r="G1030">
        <v>2</v>
      </c>
      <c r="H1030">
        <v>804</v>
      </c>
      <c r="I1030">
        <v>3.4813925570228088</v>
      </c>
      <c r="J1030">
        <v>96.518607442977185</v>
      </c>
      <c r="K1030" t="str">
        <f>_xlfn.XLOOKUP(tblProduction[[#This Row],[Product]],tblProducts[Product],tblProducts[Category],"Not Found")</f>
        <v>Precision</v>
      </c>
      <c r="L1030">
        <f>_xlfn.XLOOKUP(tblProduction[[#This Row],[Product]],tblProducts[Product],tblProducts[Target_Units],"Not Found")</f>
        <v>950</v>
      </c>
    </row>
    <row r="1031" spans="1:12" x14ac:dyDescent="0.3">
      <c r="A1031" s="1">
        <v>46138</v>
      </c>
      <c r="B1031" t="s">
        <v>17</v>
      </c>
      <c r="C1031" t="s">
        <v>12</v>
      </c>
      <c r="D1031" t="s">
        <v>18</v>
      </c>
      <c r="E1031">
        <v>664</v>
      </c>
      <c r="F1031">
        <v>23</v>
      </c>
      <c r="G1031">
        <v>88</v>
      </c>
      <c r="H1031">
        <v>641</v>
      </c>
      <c r="I1031">
        <v>3.463855421686747</v>
      </c>
      <c r="J1031">
        <v>96.536144578313255</v>
      </c>
      <c r="K1031" t="str">
        <f>_xlfn.XLOOKUP(tblProduction[[#This Row],[Product]],tblProducts[Product],tblProducts[Category],"Not Found")</f>
        <v>Assembly</v>
      </c>
      <c r="L1031">
        <f>_xlfn.XLOOKUP(tblProduction[[#This Row],[Product]],tblProducts[Product],tblProducts[Target_Units],"Not Found")</f>
        <v>900</v>
      </c>
    </row>
    <row r="1032" spans="1:12" x14ac:dyDescent="0.3">
      <c r="A1032" s="1">
        <v>46138</v>
      </c>
      <c r="B1032" t="s">
        <v>17</v>
      </c>
      <c r="C1032" t="s">
        <v>13</v>
      </c>
      <c r="D1032" t="s">
        <v>14</v>
      </c>
      <c r="E1032">
        <v>662</v>
      </c>
      <c r="F1032">
        <v>35</v>
      </c>
      <c r="G1032">
        <v>30</v>
      </c>
      <c r="H1032">
        <v>627</v>
      </c>
      <c r="I1032">
        <v>5.287009063444108</v>
      </c>
      <c r="J1032">
        <v>94.712990936555897</v>
      </c>
      <c r="K1032" t="str">
        <f>_xlfn.XLOOKUP(tblProduction[[#This Row],[Product]],tblProducts[Product],tblProducts[Category],"Not Found")</f>
        <v>Assembly</v>
      </c>
      <c r="L1032">
        <f>_xlfn.XLOOKUP(tblProduction[[#This Row],[Product]],tblProducts[Product],tblProducts[Target_Units],"Not Found")</f>
        <v>850</v>
      </c>
    </row>
    <row r="1033" spans="1:12" x14ac:dyDescent="0.3">
      <c r="A1033" s="1">
        <v>46139</v>
      </c>
      <c r="B1033" t="s">
        <v>9</v>
      </c>
      <c r="C1033" t="s">
        <v>10</v>
      </c>
      <c r="D1033" t="s">
        <v>16</v>
      </c>
      <c r="E1033">
        <v>1071</v>
      </c>
      <c r="F1033">
        <v>16</v>
      </c>
      <c r="G1033">
        <v>22</v>
      </c>
      <c r="H1033">
        <v>1055</v>
      </c>
      <c r="I1033">
        <v>1.493930905695612</v>
      </c>
      <c r="J1033">
        <v>98.506069094304394</v>
      </c>
      <c r="K1033" t="str">
        <f>_xlfn.XLOOKUP(tblProduction[[#This Row],[Product]],tblProducts[Product],tblProducts[Category],"Not Found")</f>
        <v>Standard</v>
      </c>
      <c r="L1033">
        <f>_xlfn.XLOOKUP(tblProduction[[#This Row],[Product]],tblProducts[Product],tblProducts[Target_Units],"Not Found")</f>
        <v>1000</v>
      </c>
    </row>
    <row r="1034" spans="1:12" x14ac:dyDescent="0.3">
      <c r="A1034" s="1">
        <v>46139</v>
      </c>
      <c r="B1034" t="s">
        <v>9</v>
      </c>
      <c r="C1034" t="s">
        <v>12</v>
      </c>
      <c r="D1034" t="s">
        <v>11</v>
      </c>
      <c r="E1034">
        <v>974</v>
      </c>
      <c r="F1034">
        <v>14</v>
      </c>
      <c r="G1034">
        <v>32</v>
      </c>
      <c r="H1034">
        <v>960</v>
      </c>
      <c r="I1034">
        <v>1.4373716632443529</v>
      </c>
      <c r="J1034">
        <v>98.562628336755637</v>
      </c>
      <c r="K1034" t="str">
        <f>_xlfn.XLOOKUP(tblProduction[[#This Row],[Product]],tblProducts[Product],tblProducts[Category],"Not Found")</f>
        <v>Precision</v>
      </c>
      <c r="L1034">
        <f>_xlfn.XLOOKUP(tblProduction[[#This Row],[Product]],tblProducts[Product],tblProducts[Target_Units],"Not Found")</f>
        <v>950</v>
      </c>
    </row>
    <row r="1035" spans="1:12" x14ac:dyDescent="0.3">
      <c r="A1035" s="1">
        <v>46139</v>
      </c>
      <c r="B1035" t="s">
        <v>9</v>
      </c>
      <c r="C1035" t="s">
        <v>13</v>
      </c>
      <c r="D1035" t="s">
        <v>11</v>
      </c>
      <c r="E1035">
        <v>821</v>
      </c>
      <c r="F1035">
        <v>20</v>
      </c>
      <c r="G1035">
        <v>49</v>
      </c>
      <c r="H1035">
        <v>801</v>
      </c>
      <c r="I1035">
        <v>2.4360535931790501</v>
      </c>
      <c r="J1035">
        <v>97.563946406820946</v>
      </c>
      <c r="K1035" t="str">
        <f>_xlfn.XLOOKUP(tblProduction[[#This Row],[Product]],tblProducts[Product],tblProducts[Category],"Not Found")</f>
        <v>Precision</v>
      </c>
      <c r="L1035">
        <f>_xlfn.XLOOKUP(tblProduction[[#This Row],[Product]],tblProducts[Product],tblProducts[Target_Units],"Not Found")</f>
        <v>950</v>
      </c>
    </row>
    <row r="1036" spans="1:12" x14ac:dyDescent="0.3">
      <c r="A1036" s="1">
        <v>46139</v>
      </c>
      <c r="B1036" t="s">
        <v>15</v>
      </c>
      <c r="C1036" t="s">
        <v>10</v>
      </c>
      <c r="D1036" t="s">
        <v>16</v>
      </c>
      <c r="E1036">
        <v>878</v>
      </c>
      <c r="F1036">
        <v>21</v>
      </c>
      <c r="G1036">
        <v>69</v>
      </c>
      <c r="H1036">
        <v>857</v>
      </c>
      <c r="I1036">
        <v>2.391799544419134</v>
      </c>
      <c r="J1036">
        <v>97.608200455580857</v>
      </c>
      <c r="K1036" t="str">
        <f>_xlfn.XLOOKUP(tblProduction[[#This Row],[Product]],tblProducts[Product],tblProducts[Category],"Not Found")</f>
        <v>Standard</v>
      </c>
      <c r="L1036">
        <f>_xlfn.XLOOKUP(tblProduction[[#This Row],[Product]],tblProducts[Product],tblProducts[Target_Units],"Not Found")</f>
        <v>1000</v>
      </c>
    </row>
    <row r="1037" spans="1:12" x14ac:dyDescent="0.3">
      <c r="A1037" s="1">
        <v>46139</v>
      </c>
      <c r="B1037" t="s">
        <v>15</v>
      </c>
      <c r="C1037" t="s">
        <v>12</v>
      </c>
      <c r="D1037" t="s">
        <v>16</v>
      </c>
      <c r="E1037">
        <v>852</v>
      </c>
      <c r="F1037">
        <v>21</v>
      </c>
      <c r="G1037">
        <v>83</v>
      </c>
      <c r="H1037">
        <v>831</v>
      </c>
      <c r="I1037">
        <v>2.464788732394366</v>
      </c>
      <c r="J1037">
        <v>97.535211267605632</v>
      </c>
      <c r="K1037" t="str">
        <f>_xlfn.XLOOKUP(tblProduction[[#This Row],[Product]],tblProducts[Product],tblProducts[Category],"Not Found")</f>
        <v>Standard</v>
      </c>
      <c r="L1037">
        <f>_xlfn.XLOOKUP(tblProduction[[#This Row],[Product]],tblProducts[Product],tblProducts[Target_Units],"Not Found")</f>
        <v>1000</v>
      </c>
    </row>
    <row r="1038" spans="1:12" x14ac:dyDescent="0.3">
      <c r="A1038" s="1">
        <v>46139</v>
      </c>
      <c r="B1038" t="s">
        <v>15</v>
      </c>
      <c r="C1038" t="s">
        <v>13</v>
      </c>
      <c r="D1038" t="s">
        <v>14</v>
      </c>
      <c r="E1038">
        <v>734</v>
      </c>
      <c r="F1038">
        <v>31</v>
      </c>
      <c r="G1038">
        <v>15</v>
      </c>
      <c r="H1038">
        <v>703</v>
      </c>
      <c r="I1038">
        <v>4.223433242506812</v>
      </c>
      <c r="J1038">
        <v>95.776566757493185</v>
      </c>
      <c r="K1038" t="str">
        <f>_xlfn.XLOOKUP(tblProduction[[#This Row],[Product]],tblProducts[Product],tblProducts[Category],"Not Found")</f>
        <v>Assembly</v>
      </c>
      <c r="L1038">
        <f>_xlfn.XLOOKUP(tblProduction[[#This Row],[Product]],tblProducts[Product],tblProducts[Target_Units],"Not Found")</f>
        <v>850</v>
      </c>
    </row>
    <row r="1039" spans="1:12" x14ac:dyDescent="0.3">
      <c r="A1039" s="1">
        <v>46139</v>
      </c>
      <c r="B1039" t="s">
        <v>17</v>
      </c>
      <c r="C1039" t="s">
        <v>10</v>
      </c>
      <c r="D1039" t="s">
        <v>18</v>
      </c>
      <c r="E1039">
        <v>790</v>
      </c>
      <c r="F1039">
        <v>27</v>
      </c>
      <c r="G1039">
        <v>29</v>
      </c>
      <c r="H1039">
        <v>763</v>
      </c>
      <c r="I1039">
        <v>3.4177215189873422</v>
      </c>
      <c r="J1039">
        <v>96.582278481012665</v>
      </c>
      <c r="K1039" t="str">
        <f>_xlfn.XLOOKUP(tblProduction[[#This Row],[Product]],tblProducts[Product],tblProducts[Category],"Not Found")</f>
        <v>Assembly</v>
      </c>
      <c r="L1039">
        <f>_xlfn.XLOOKUP(tblProduction[[#This Row],[Product]],tblProducts[Product],tblProducts[Target_Units],"Not Found")</f>
        <v>900</v>
      </c>
    </row>
    <row r="1040" spans="1:12" x14ac:dyDescent="0.3">
      <c r="A1040" s="1">
        <v>46139</v>
      </c>
      <c r="B1040" t="s">
        <v>17</v>
      </c>
      <c r="C1040" t="s">
        <v>12</v>
      </c>
      <c r="D1040" t="s">
        <v>14</v>
      </c>
      <c r="E1040">
        <v>690</v>
      </c>
      <c r="F1040">
        <v>29</v>
      </c>
      <c r="G1040">
        <v>11</v>
      </c>
      <c r="H1040">
        <v>661</v>
      </c>
      <c r="I1040">
        <v>4.2028985507246377</v>
      </c>
      <c r="J1040">
        <v>95.79710144927536</v>
      </c>
      <c r="K1040" t="str">
        <f>_xlfn.XLOOKUP(tblProduction[[#This Row],[Product]],tblProducts[Product],tblProducts[Category],"Not Found")</f>
        <v>Assembly</v>
      </c>
      <c r="L1040">
        <f>_xlfn.XLOOKUP(tblProduction[[#This Row],[Product]],tblProducts[Product],tblProducts[Target_Units],"Not Found")</f>
        <v>850</v>
      </c>
    </row>
    <row r="1041" spans="1:12" x14ac:dyDescent="0.3">
      <c r="A1041" s="1">
        <v>46139</v>
      </c>
      <c r="B1041" t="s">
        <v>17</v>
      </c>
      <c r="C1041" t="s">
        <v>13</v>
      </c>
      <c r="D1041" t="s">
        <v>18</v>
      </c>
      <c r="E1041">
        <v>669</v>
      </c>
      <c r="F1041">
        <v>30</v>
      </c>
      <c r="G1041">
        <v>36</v>
      </c>
      <c r="H1041">
        <v>639</v>
      </c>
      <c r="I1041">
        <v>4.4843049327354256</v>
      </c>
      <c r="J1041">
        <v>95.515695067264573</v>
      </c>
      <c r="K1041" t="str">
        <f>_xlfn.XLOOKUP(tblProduction[[#This Row],[Product]],tblProducts[Product],tblProducts[Category],"Not Found")</f>
        <v>Assembly</v>
      </c>
      <c r="L1041">
        <f>_xlfn.XLOOKUP(tblProduction[[#This Row],[Product]],tblProducts[Product],tblProducts[Target_Units],"Not Found")</f>
        <v>900</v>
      </c>
    </row>
    <row r="1042" spans="1:12" x14ac:dyDescent="0.3">
      <c r="A1042" s="1">
        <v>46140</v>
      </c>
      <c r="B1042" t="s">
        <v>9</v>
      </c>
      <c r="C1042" t="s">
        <v>10</v>
      </c>
      <c r="D1042" t="s">
        <v>11</v>
      </c>
      <c r="E1042">
        <v>977</v>
      </c>
      <c r="F1042">
        <v>14</v>
      </c>
      <c r="G1042">
        <v>51</v>
      </c>
      <c r="H1042">
        <v>963</v>
      </c>
      <c r="I1042">
        <v>1.432958034800409</v>
      </c>
      <c r="J1042">
        <v>98.567041965199593</v>
      </c>
      <c r="K1042" t="str">
        <f>_xlfn.XLOOKUP(tblProduction[[#This Row],[Product]],tblProducts[Product],tblProducts[Category],"Not Found")</f>
        <v>Precision</v>
      </c>
      <c r="L1042">
        <f>_xlfn.XLOOKUP(tblProduction[[#This Row],[Product]],tblProducts[Product],tblProducts[Target_Units],"Not Found")</f>
        <v>950</v>
      </c>
    </row>
    <row r="1043" spans="1:12" x14ac:dyDescent="0.3">
      <c r="A1043" s="1">
        <v>46140</v>
      </c>
      <c r="B1043" t="s">
        <v>9</v>
      </c>
      <c r="C1043" t="s">
        <v>12</v>
      </c>
      <c r="D1043" t="s">
        <v>14</v>
      </c>
      <c r="E1043">
        <v>857</v>
      </c>
      <c r="F1043">
        <v>19</v>
      </c>
      <c r="G1043">
        <v>16</v>
      </c>
      <c r="H1043">
        <v>838</v>
      </c>
      <c r="I1043">
        <v>2.2170361726954488</v>
      </c>
      <c r="J1043">
        <v>97.782963827304542</v>
      </c>
      <c r="K1043" t="str">
        <f>_xlfn.XLOOKUP(tblProduction[[#This Row],[Product]],tblProducts[Product],tblProducts[Category],"Not Found")</f>
        <v>Assembly</v>
      </c>
      <c r="L1043">
        <f>_xlfn.XLOOKUP(tblProduction[[#This Row],[Product]],tblProducts[Product],tblProducts[Target_Units],"Not Found")</f>
        <v>850</v>
      </c>
    </row>
    <row r="1044" spans="1:12" x14ac:dyDescent="0.3">
      <c r="A1044" s="1">
        <v>46140</v>
      </c>
      <c r="B1044" t="s">
        <v>9</v>
      </c>
      <c r="C1044" t="s">
        <v>13</v>
      </c>
      <c r="D1044" t="s">
        <v>16</v>
      </c>
      <c r="E1044">
        <v>858</v>
      </c>
      <c r="F1044">
        <v>21</v>
      </c>
      <c r="G1044">
        <v>73</v>
      </c>
      <c r="H1044">
        <v>837</v>
      </c>
      <c r="I1044">
        <v>2.4475524475524471</v>
      </c>
      <c r="J1044">
        <v>97.552447552447546</v>
      </c>
      <c r="K1044" t="str">
        <f>_xlfn.XLOOKUP(tblProduction[[#This Row],[Product]],tblProducts[Product],tblProducts[Category],"Not Found")</f>
        <v>Standard</v>
      </c>
      <c r="L1044">
        <f>_xlfn.XLOOKUP(tblProduction[[#This Row],[Product]],tblProducts[Product],tblProducts[Target_Units],"Not Found")</f>
        <v>1000</v>
      </c>
    </row>
    <row r="1045" spans="1:12" x14ac:dyDescent="0.3">
      <c r="A1045" s="1">
        <v>46140</v>
      </c>
      <c r="B1045" t="s">
        <v>15</v>
      </c>
      <c r="C1045" t="s">
        <v>10</v>
      </c>
      <c r="D1045" t="s">
        <v>16</v>
      </c>
      <c r="E1045">
        <v>922</v>
      </c>
      <c r="F1045">
        <v>23</v>
      </c>
      <c r="G1045">
        <v>56</v>
      </c>
      <c r="H1045">
        <v>899</v>
      </c>
      <c r="I1045">
        <v>2.4945770065075918</v>
      </c>
      <c r="J1045">
        <v>97.505422993492402</v>
      </c>
      <c r="K1045" t="str">
        <f>_xlfn.XLOOKUP(tblProduction[[#This Row],[Product]],tblProducts[Product],tblProducts[Category],"Not Found")</f>
        <v>Standard</v>
      </c>
      <c r="L1045">
        <f>_xlfn.XLOOKUP(tblProduction[[#This Row],[Product]],tblProducts[Product],tblProducts[Target_Units],"Not Found")</f>
        <v>1000</v>
      </c>
    </row>
    <row r="1046" spans="1:12" x14ac:dyDescent="0.3">
      <c r="A1046" s="1">
        <v>46140</v>
      </c>
      <c r="B1046" t="s">
        <v>15</v>
      </c>
      <c r="C1046" t="s">
        <v>12</v>
      </c>
      <c r="D1046" t="s">
        <v>18</v>
      </c>
      <c r="E1046">
        <v>724</v>
      </c>
      <c r="F1046">
        <v>18</v>
      </c>
      <c r="G1046">
        <v>88</v>
      </c>
      <c r="H1046">
        <v>706</v>
      </c>
      <c r="I1046">
        <v>2.4861878453038671</v>
      </c>
      <c r="J1046">
        <v>97.51381215469614</v>
      </c>
      <c r="K1046" t="str">
        <f>_xlfn.XLOOKUP(tblProduction[[#This Row],[Product]],tblProducts[Product],tblProducts[Category],"Not Found")</f>
        <v>Assembly</v>
      </c>
      <c r="L1046">
        <f>_xlfn.XLOOKUP(tblProduction[[#This Row],[Product]],tblProducts[Product],tblProducts[Target_Units],"Not Found")</f>
        <v>900</v>
      </c>
    </row>
    <row r="1047" spans="1:12" x14ac:dyDescent="0.3">
      <c r="A1047" s="1">
        <v>46140</v>
      </c>
      <c r="B1047" t="s">
        <v>15</v>
      </c>
      <c r="C1047" t="s">
        <v>13</v>
      </c>
      <c r="D1047" t="s">
        <v>18</v>
      </c>
      <c r="E1047">
        <v>742</v>
      </c>
      <c r="F1047">
        <v>25</v>
      </c>
      <c r="G1047">
        <v>9</v>
      </c>
      <c r="H1047">
        <v>717</v>
      </c>
      <c r="I1047">
        <v>3.3692722371967649</v>
      </c>
      <c r="J1047">
        <v>96.630727762803232</v>
      </c>
      <c r="K1047" t="str">
        <f>_xlfn.XLOOKUP(tblProduction[[#This Row],[Product]],tblProducts[Product],tblProducts[Category],"Not Found")</f>
        <v>Assembly</v>
      </c>
      <c r="L1047">
        <f>_xlfn.XLOOKUP(tblProduction[[#This Row],[Product]],tblProducts[Product],tblProducts[Target_Units],"Not Found")</f>
        <v>900</v>
      </c>
    </row>
    <row r="1048" spans="1:12" x14ac:dyDescent="0.3">
      <c r="A1048" s="1">
        <v>46140</v>
      </c>
      <c r="B1048" t="s">
        <v>17</v>
      </c>
      <c r="C1048" t="s">
        <v>10</v>
      </c>
      <c r="D1048" t="s">
        <v>18</v>
      </c>
      <c r="E1048">
        <v>759</v>
      </c>
      <c r="F1048">
        <v>26</v>
      </c>
      <c r="G1048">
        <v>58</v>
      </c>
      <c r="H1048">
        <v>733</v>
      </c>
      <c r="I1048">
        <v>3.4255599472990781</v>
      </c>
      <c r="J1048">
        <v>96.574440052700922</v>
      </c>
      <c r="K1048" t="str">
        <f>_xlfn.XLOOKUP(tblProduction[[#This Row],[Product]],tblProducts[Product],tblProducts[Category],"Not Found")</f>
        <v>Assembly</v>
      </c>
      <c r="L1048">
        <f>_xlfn.XLOOKUP(tblProduction[[#This Row],[Product]],tblProducts[Product],tblProducts[Target_Units],"Not Found")</f>
        <v>900</v>
      </c>
    </row>
    <row r="1049" spans="1:12" x14ac:dyDescent="0.3">
      <c r="A1049" s="1">
        <v>46140</v>
      </c>
      <c r="B1049" t="s">
        <v>17</v>
      </c>
      <c r="C1049" t="s">
        <v>12</v>
      </c>
      <c r="D1049" t="s">
        <v>14</v>
      </c>
      <c r="E1049">
        <v>678</v>
      </c>
      <c r="F1049">
        <v>29</v>
      </c>
      <c r="G1049">
        <v>50</v>
      </c>
      <c r="H1049">
        <v>649</v>
      </c>
      <c r="I1049">
        <v>4.277286135693215</v>
      </c>
      <c r="J1049">
        <v>95.722713864306783</v>
      </c>
      <c r="K1049" t="str">
        <f>_xlfn.XLOOKUP(tblProduction[[#This Row],[Product]],tblProducts[Product],tblProducts[Category],"Not Found")</f>
        <v>Assembly</v>
      </c>
      <c r="L1049">
        <f>_xlfn.XLOOKUP(tblProduction[[#This Row],[Product]],tblProducts[Product],tblProducts[Target_Units],"Not Found")</f>
        <v>850</v>
      </c>
    </row>
    <row r="1050" spans="1:12" x14ac:dyDescent="0.3">
      <c r="A1050" s="1">
        <v>46141</v>
      </c>
      <c r="B1050" t="s">
        <v>9</v>
      </c>
      <c r="C1050" t="s">
        <v>10</v>
      </c>
      <c r="D1050" t="s">
        <v>14</v>
      </c>
      <c r="E1050">
        <v>954</v>
      </c>
      <c r="F1050">
        <v>21</v>
      </c>
      <c r="G1050">
        <v>10</v>
      </c>
      <c r="H1050">
        <v>933</v>
      </c>
      <c r="I1050">
        <v>2.2012578616352201</v>
      </c>
      <c r="J1050">
        <v>97.798742138364787</v>
      </c>
      <c r="K1050" t="str">
        <f>_xlfn.XLOOKUP(tblProduction[[#This Row],[Product]],tblProducts[Product],tblProducts[Category],"Not Found")</f>
        <v>Assembly</v>
      </c>
      <c r="L1050">
        <f>_xlfn.XLOOKUP(tblProduction[[#This Row],[Product]],tblProducts[Product],tblProducts[Target_Units],"Not Found")</f>
        <v>850</v>
      </c>
    </row>
    <row r="1051" spans="1:12" x14ac:dyDescent="0.3">
      <c r="A1051" s="1">
        <v>46141</v>
      </c>
      <c r="B1051" t="s">
        <v>9</v>
      </c>
      <c r="C1051" t="s">
        <v>12</v>
      </c>
      <c r="D1051" t="s">
        <v>14</v>
      </c>
      <c r="E1051">
        <v>870</v>
      </c>
      <c r="F1051">
        <v>20</v>
      </c>
      <c r="G1051">
        <v>40</v>
      </c>
      <c r="H1051">
        <v>850</v>
      </c>
      <c r="I1051">
        <v>2.298850574712644</v>
      </c>
      <c r="J1051">
        <v>97.701149425287355</v>
      </c>
      <c r="K1051" t="str">
        <f>_xlfn.XLOOKUP(tblProduction[[#This Row],[Product]],tblProducts[Product],tblProducts[Category],"Not Found")</f>
        <v>Assembly</v>
      </c>
      <c r="L1051">
        <f>_xlfn.XLOOKUP(tblProduction[[#This Row],[Product]],tblProducts[Product],tblProducts[Target_Units],"Not Found")</f>
        <v>850</v>
      </c>
    </row>
    <row r="1052" spans="1:12" x14ac:dyDescent="0.3">
      <c r="A1052" s="1">
        <v>46141</v>
      </c>
      <c r="B1052" t="s">
        <v>9</v>
      </c>
      <c r="C1052" t="s">
        <v>13</v>
      </c>
      <c r="D1052" t="s">
        <v>14</v>
      </c>
      <c r="E1052">
        <v>853</v>
      </c>
      <c r="F1052">
        <v>28</v>
      </c>
      <c r="G1052">
        <v>1</v>
      </c>
      <c r="H1052">
        <v>825</v>
      </c>
      <c r="I1052">
        <v>3.2825322391559211</v>
      </c>
      <c r="J1052">
        <v>96.717467760844073</v>
      </c>
      <c r="K1052" t="str">
        <f>_xlfn.XLOOKUP(tblProduction[[#This Row],[Product]],tblProducts[Product],tblProducts[Category],"Not Found")</f>
        <v>Assembly</v>
      </c>
      <c r="L1052">
        <f>_xlfn.XLOOKUP(tblProduction[[#This Row],[Product]],tblProducts[Product],tblProducts[Target_Units],"Not Found")</f>
        <v>850</v>
      </c>
    </row>
    <row r="1053" spans="1:12" x14ac:dyDescent="0.3">
      <c r="A1053" s="1">
        <v>46141</v>
      </c>
      <c r="B1053" t="s">
        <v>15</v>
      </c>
      <c r="C1053" t="s">
        <v>10</v>
      </c>
      <c r="D1053" t="s">
        <v>18</v>
      </c>
      <c r="E1053">
        <v>830</v>
      </c>
      <c r="F1053">
        <v>20</v>
      </c>
      <c r="G1053">
        <v>46</v>
      </c>
      <c r="H1053">
        <v>810</v>
      </c>
      <c r="I1053">
        <v>2.4096385542168681</v>
      </c>
      <c r="J1053">
        <v>97.590361445783131</v>
      </c>
      <c r="K1053" t="str">
        <f>_xlfn.XLOOKUP(tblProduction[[#This Row],[Product]],tblProducts[Product],tblProducts[Category],"Not Found")</f>
        <v>Assembly</v>
      </c>
      <c r="L1053">
        <f>_xlfn.XLOOKUP(tblProduction[[#This Row],[Product]],tblProducts[Product],tblProducts[Target_Units],"Not Found")</f>
        <v>900</v>
      </c>
    </row>
    <row r="1054" spans="1:12" x14ac:dyDescent="0.3">
      <c r="A1054" s="1">
        <v>46141</v>
      </c>
      <c r="B1054" t="s">
        <v>15</v>
      </c>
      <c r="C1054" t="s">
        <v>12</v>
      </c>
      <c r="D1054" t="s">
        <v>11</v>
      </c>
      <c r="E1054">
        <v>781</v>
      </c>
      <c r="F1054">
        <v>19</v>
      </c>
      <c r="G1054">
        <v>87</v>
      </c>
      <c r="H1054">
        <v>762</v>
      </c>
      <c r="I1054">
        <v>2.432778489116517</v>
      </c>
      <c r="J1054">
        <v>97.567221510883485</v>
      </c>
      <c r="K1054" t="str">
        <f>_xlfn.XLOOKUP(tblProduction[[#This Row],[Product]],tblProducts[Product],tblProducts[Category],"Not Found")</f>
        <v>Precision</v>
      </c>
      <c r="L1054">
        <f>_xlfn.XLOOKUP(tblProduction[[#This Row],[Product]],tblProducts[Product],tblProducts[Target_Units],"Not Found")</f>
        <v>950</v>
      </c>
    </row>
    <row r="1055" spans="1:12" x14ac:dyDescent="0.3">
      <c r="A1055" s="1">
        <v>46141</v>
      </c>
      <c r="B1055" t="s">
        <v>15</v>
      </c>
      <c r="C1055" t="s">
        <v>13</v>
      </c>
      <c r="D1055" t="s">
        <v>18</v>
      </c>
      <c r="E1055">
        <v>814</v>
      </c>
      <c r="F1055">
        <v>28</v>
      </c>
      <c r="G1055">
        <v>5</v>
      </c>
      <c r="H1055">
        <v>786</v>
      </c>
      <c r="I1055">
        <v>3.4398034398034398</v>
      </c>
      <c r="J1055">
        <v>96.560196560196559</v>
      </c>
      <c r="K1055" t="str">
        <f>_xlfn.XLOOKUP(tblProduction[[#This Row],[Product]],tblProducts[Product],tblProducts[Category],"Not Found")</f>
        <v>Assembly</v>
      </c>
      <c r="L1055">
        <f>_xlfn.XLOOKUP(tblProduction[[#This Row],[Product]],tblProducts[Product],tblProducts[Target_Units],"Not Found")</f>
        <v>900</v>
      </c>
    </row>
    <row r="1056" spans="1:12" x14ac:dyDescent="0.3">
      <c r="A1056" s="1">
        <v>46141</v>
      </c>
      <c r="B1056" t="s">
        <v>17</v>
      </c>
      <c r="C1056" t="s">
        <v>10</v>
      </c>
      <c r="D1056" t="s">
        <v>14</v>
      </c>
      <c r="E1056">
        <v>692</v>
      </c>
      <c r="F1056">
        <v>29</v>
      </c>
      <c r="G1056">
        <v>67</v>
      </c>
      <c r="H1056">
        <v>663</v>
      </c>
      <c r="I1056">
        <v>4.1907514450867049</v>
      </c>
      <c r="J1056">
        <v>95.809248554913296</v>
      </c>
      <c r="K1056" t="str">
        <f>_xlfn.XLOOKUP(tblProduction[[#This Row],[Product]],tblProducts[Product],tblProducts[Category],"Not Found")</f>
        <v>Assembly</v>
      </c>
      <c r="L1056">
        <f>_xlfn.XLOOKUP(tblProduction[[#This Row],[Product]],tblProducts[Product],tblProducts[Target_Units],"Not Found")</f>
        <v>850</v>
      </c>
    </row>
    <row r="1057" spans="1:12" x14ac:dyDescent="0.3">
      <c r="A1057" s="1">
        <v>46141</v>
      </c>
      <c r="B1057" t="s">
        <v>17</v>
      </c>
      <c r="C1057" t="s">
        <v>12</v>
      </c>
      <c r="D1057" t="s">
        <v>18</v>
      </c>
      <c r="E1057">
        <v>701</v>
      </c>
      <c r="F1057">
        <v>24</v>
      </c>
      <c r="G1057">
        <v>61</v>
      </c>
      <c r="H1057">
        <v>677</v>
      </c>
      <c r="I1057">
        <v>3.4236804564907271</v>
      </c>
      <c r="J1057">
        <v>96.576319543509271</v>
      </c>
      <c r="K1057" t="str">
        <f>_xlfn.XLOOKUP(tblProduction[[#This Row],[Product]],tblProducts[Product],tblProducts[Category],"Not Found")</f>
        <v>Assembly</v>
      </c>
      <c r="L1057">
        <f>_xlfn.XLOOKUP(tblProduction[[#This Row],[Product]],tblProducts[Product],tblProducts[Target_Units],"Not Found")</f>
        <v>900</v>
      </c>
    </row>
    <row r="1058" spans="1:12" x14ac:dyDescent="0.3">
      <c r="A1058" s="1">
        <v>46141</v>
      </c>
      <c r="B1058" t="s">
        <v>17</v>
      </c>
      <c r="C1058" t="s">
        <v>13</v>
      </c>
      <c r="D1058" t="s">
        <v>14</v>
      </c>
      <c r="E1058">
        <v>614</v>
      </c>
      <c r="F1058">
        <v>32</v>
      </c>
      <c r="G1058">
        <v>31</v>
      </c>
      <c r="H1058">
        <v>582</v>
      </c>
      <c r="I1058">
        <v>5.2117263843648214</v>
      </c>
      <c r="J1058">
        <v>94.788273615635177</v>
      </c>
      <c r="K1058" t="str">
        <f>_xlfn.XLOOKUP(tblProduction[[#This Row],[Product]],tblProducts[Product],tblProducts[Category],"Not Found")</f>
        <v>Assembly</v>
      </c>
      <c r="L1058">
        <f>_xlfn.XLOOKUP(tblProduction[[#This Row],[Product]],tblProducts[Product],tblProducts[Target_Units],"Not Found")</f>
        <v>850</v>
      </c>
    </row>
    <row r="1059" spans="1:12" x14ac:dyDescent="0.3">
      <c r="A1059" s="1">
        <v>46142</v>
      </c>
      <c r="B1059" t="s">
        <v>9</v>
      </c>
      <c r="C1059" t="s">
        <v>10</v>
      </c>
      <c r="D1059" t="s">
        <v>16</v>
      </c>
      <c r="E1059">
        <v>936</v>
      </c>
      <c r="F1059">
        <v>14</v>
      </c>
      <c r="G1059">
        <v>75</v>
      </c>
      <c r="H1059">
        <v>922</v>
      </c>
      <c r="I1059">
        <v>1.495726495726496</v>
      </c>
      <c r="J1059">
        <v>98.504273504273513</v>
      </c>
      <c r="K1059" t="str">
        <f>_xlfn.XLOOKUP(tblProduction[[#This Row],[Product]],tblProducts[Product],tblProducts[Category],"Not Found")</f>
        <v>Standard</v>
      </c>
      <c r="L1059">
        <f>_xlfn.XLOOKUP(tblProduction[[#This Row],[Product]],tblProducts[Product],tblProducts[Target_Units],"Not Found")</f>
        <v>1000</v>
      </c>
    </row>
    <row r="1060" spans="1:12" x14ac:dyDescent="0.3">
      <c r="A1060" s="1">
        <v>46142</v>
      </c>
      <c r="B1060" t="s">
        <v>9</v>
      </c>
      <c r="C1060" t="s">
        <v>12</v>
      </c>
      <c r="D1060" t="s">
        <v>18</v>
      </c>
      <c r="E1060">
        <v>855</v>
      </c>
      <c r="F1060">
        <v>12</v>
      </c>
      <c r="G1060">
        <v>53</v>
      </c>
      <c r="H1060">
        <v>843</v>
      </c>
      <c r="I1060">
        <v>1.403508771929824</v>
      </c>
      <c r="J1060">
        <v>98.596491228070164</v>
      </c>
      <c r="K1060" t="str">
        <f>_xlfn.XLOOKUP(tblProduction[[#This Row],[Product]],tblProducts[Product],tblProducts[Category],"Not Found")</f>
        <v>Assembly</v>
      </c>
      <c r="L1060">
        <f>_xlfn.XLOOKUP(tblProduction[[#This Row],[Product]],tblProducts[Product],tblProducts[Target_Units],"Not Found")</f>
        <v>900</v>
      </c>
    </row>
    <row r="1061" spans="1:12" x14ac:dyDescent="0.3">
      <c r="A1061" s="1">
        <v>46142</v>
      </c>
      <c r="B1061" t="s">
        <v>9</v>
      </c>
      <c r="C1061" t="s">
        <v>13</v>
      </c>
      <c r="D1061" t="s">
        <v>18</v>
      </c>
      <c r="E1061">
        <v>802</v>
      </c>
      <c r="F1061">
        <v>20</v>
      </c>
      <c r="G1061">
        <v>62</v>
      </c>
      <c r="H1061">
        <v>782</v>
      </c>
      <c r="I1061">
        <v>2.4937655860349128</v>
      </c>
      <c r="J1061">
        <v>97.506234413965089</v>
      </c>
      <c r="K1061" t="str">
        <f>_xlfn.XLOOKUP(tblProduction[[#This Row],[Product]],tblProducts[Product],tblProducts[Category],"Not Found")</f>
        <v>Assembly</v>
      </c>
      <c r="L1061">
        <f>_xlfn.XLOOKUP(tblProduction[[#This Row],[Product]],tblProducts[Product],tblProducts[Target_Units],"Not Found")</f>
        <v>900</v>
      </c>
    </row>
    <row r="1062" spans="1:12" x14ac:dyDescent="0.3">
      <c r="A1062" s="1">
        <v>46142</v>
      </c>
      <c r="B1062" t="s">
        <v>15</v>
      </c>
      <c r="C1062" t="s">
        <v>10</v>
      </c>
      <c r="D1062" t="s">
        <v>14</v>
      </c>
      <c r="E1062">
        <v>806</v>
      </c>
      <c r="F1062">
        <v>26</v>
      </c>
      <c r="G1062">
        <v>34</v>
      </c>
      <c r="H1062">
        <v>780</v>
      </c>
      <c r="I1062">
        <v>3.225806451612903</v>
      </c>
      <c r="J1062">
        <v>96.774193548387103</v>
      </c>
      <c r="K1062" t="str">
        <f>_xlfn.XLOOKUP(tblProduction[[#This Row],[Product]],tblProducts[Product],tblProducts[Category],"Not Found")</f>
        <v>Assembly</v>
      </c>
      <c r="L1062">
        <f>_xlfn.XLOOKUP(tblProduction[[#This Row],[Product]],tblProducts[Product],tblProducts[Target_Units],"Not Found")</f>
        <v>850</v>
      </c>
    </row>
    <row r="1063" spans="1:12" x14ac:dyDescent="0.3">
      <c r="A1063" s="1">
        <v>46142</v>
      </c>
      <c r="B1063" t="s">
        <v>9</v>
      </c>
      <c r="C1063" t="s">
        <v>12</v>
      </c>
      <c r="D1063" t="s">
        <v>14</v>
      </c>
      <c r="E1063">
        <v>710</v>
      </c>
      <c r="F1063">
        <v>23</v>
      </c>
      <c r="G1063">
        <v>68</v>
      </c>
      <c r="H1063">
        <v>687</v>
      </c>
      <c r="I1063">
        <v>3.23943661971831</v>
      </c>
      <c r="J1063">
        <v>96.760563380281695</v>
      </c>
      <c r="K1063" t="str">
        <f>_xlfn.XLOOKUP(tblProduction[[#This Row],[Product]],tblProducts[Product],tblProducts[Category],"Not Found")</f>
        <v>Assembly</v>
      </c>
      <c r="L1063">
        <f>_xlfn.XLOOKUP(tblProduction[[#This Row],[Product]],tblProducts[Product],tblProducts[Target_Units],"Not Found")</f>
        <v>850</v>
      </c>
    </row>
    <row r="1064" spans="1:12" x14ac:dyDescent="0.3">
      <c r="A1064" s="1">
        <v>46142</v>
      </c>
      <c r="B1064" t="s">
        <v>15</v>
      </c>
      <c r="C1064" t="s">
        <v>13</v>
      </c>
      <c r="D1064" t="s">
        <v>18</v>
      </c>
      <c r="E1064">
        <v>794</v>
      </c>
      <c r="F1064">
        <v>27</v>
      </c>
      <c r="G1064">
        <v>24</v>
      </c>
      <c r="H1064">
        <v>767</v>
      </c>
      <c r="I1064">
        <v>3.4005037783375318</v>
      </c>
      <c r="J1064">
        <v>96.599496221662477</v>
      </c>
      <c r="K1064" t="str">
        <f>_xlfn.XLOOKUP(tblProduction[[#This Row],[Product]],tblProducts[Product],tblProducts[Category],"Not Found")</f>
        <v>Assembly</v>
      </c>
      <c r="L1064">
        <f>_xlfn.XLOOKUP(tblProduction[[#This Row],[Product]],tblProducts[Product],tblProducts[Target_Units],"Not Found")</f>
        <v>900</v>
      </c>
    </row>
    <row r="1065" spans="1:12" x14ac:dyDescent="0.3">
      <c r="A1065" s="1">
        <v>46142</v>
      </c>
      <c r="B1065" t="s">
        <v>17</v>
      </c>
      <c r="C1065" t="s">
        <v>10</v>
      </c>
      <c r="D1065" t="s">
        <v>18</v>
      </c>
      <c r="E1065">
        <v>710</v>
      </c>
      <c r="F1065">
        <v>24</v>
      </c>
      <c r="G1065">
        <v>81</v>
      </c>
      <c r="H1065">
        <v>686</v>
      </c>
      <c r="I1065">
        <v>3.380281690140845</v>
      </c>
      <c r="J1065">
        <v>96.619718309859167</v>
      </c>
      <c r="K1065" t="str">
        <f>_xlfn.XLOOKUP(tblProduction[[#This Row],[Product]],tblProducts[Product],tblProducts[Category],"Not Found")</f>
        <v>Assembly</v>
      </c>
      <c r="L1065">
        <f>_xlfn.XLOOKUP(tblProduction[[#This Row],[Product]],tblProducts[Product],tblProducts[Target_Units],"Not Found")</f>
        <v>900</v>
      </c>
    </row>
    <row r="1066" spans="1:12" x14ac:dyDescent="0.3">
      <c r="A1066" s="1">
        <v>46142</v>
      </c>
      <c r="B1066" t="s">
        <v>17</v>
      </c>
      <c r="C1066" t="s">
        <v>12</v>
      </c>
      <c r="D1066" t="s">
        <v>14</v>
      </c>
      <c r="E1066">
        <v>645</v>
      </c>
      <c r="F1066">
        <v>27</v>
      </c>
      <c r="G1066">
        <v>81</v>
      </c>
      <c r="H1066">
        <v>618</v>
      </c>
      <c r="I1066">
        <v>4.1860465116279073</v>
      </c>
      <c r="J1066">
        <v>95.813953488372093</v>
      </c>
      <c r="K1066" t="str">
        <f>_xlfn.XLOOKUP(tblProduction[[#This Row],[Product]],tblProducts[Product],tblProducts[Category],"Not Found")</f>
        <v>Assembly</v>
      </c>
      <c r="L1066">
        <f>_xlfn.XLOOKUP(tblProduction[[#This Row],[Product]],tblProducts[Product],tblProducts[Target_Units],"Not Found")</f>
        <v>850</v>
      </c>
    </row>
    <row r="1067" spans="1:12" x14ac:dyDescent="0.3">
      <c r="A1067" s="1">
        <v>46142</v>
      </c>
      <c r="B1067" t="s">
        <v>17</v>
      </c>
      <c r="C1067" t="s">
        <v>13</v>
      </c>
      <c r="D1067" t="s">
        <v>16</v>
      </c>
      <c r="E1067">
        <v>779</v>
      </c>
      <c r="F1067">
        <v>35</v>
      </c>
      <c r="G1067">
        <v>19</v>
      </c>
      <c r="H1067">
        <v>744</v>
      </c>
      <c r="I1067">
        <v>4.4929396662387679</v>
      </c>
      <c r="J1067">
        <v>95.507060333761231</v>
      </c>
      <c r="K1067" t="str">
        <f>_xlfn.XLOOKUP(tblProduction[[#This Row],[Product]],tblProducts[Product],tblProducts[Category],"Not Found")</f>
        <v>Standard</v>
      </c>
      <c r="L1067">
        <f>_xlfn.XLOOKUP(tblProduction[[#This Row],[Product]],tblProducts[Product],tblProducts[Target_Units],"Not Found")</f>
        <v>1000</v>
      </c>
    </row>
    <row r="1068" spans="1:12" x14ac:dyDescent="0.3">
      <c r="A1068" s="1">
        <v>46143</v>
      </c>
      <c r="B1068" t="s">
        <v>9</v>
      </c>
      <c r="C1068" t="s">
        <v>10</v>
      </c>
      <c r="D1068" t="s">
        <v>11</v>
      </c>
      <c r="E1068">
        <v>939</v>
      </c>
      <c r="F1068">
        <v>14</v>
      </c>
      <c r="G1068">
        <v>38</v>
      </c>
      <c r="H1068">
        <v>925</v>
      </c>
      <c r="I1068">
        <v>1.490947816826411</v>
      </c>
      <c r="J1068">
        <v>98.50905218317358</v>
      </c>
      <c r="K1068" t="str">
        <f>_xlfn.XLOOKUP(tblProduction[[#This Row],[Product]],tblProducts[Product],tblProducts[Category],"Not Found")</f>
        <v>Precision</v>
      </c>
      <c r="L1068">
        <f>_xlfn.XLOOKUP(tblProduction[[#This Row],[Product]],tblProducts[Product],tblProducts[Target_Units],"Not Found")</f>
        <v>950</v>
      </c>
    </row>
    <row r="1069" spans="1:12" x14ac:dyDescent="0.3">
      <c r="A1069" s="1">
        <v>46143</v>
      </c>
      <c r="B1069" t="s">
        <v>9</v>
      </c>
      <c r="C1069" t="s">
        <v>12</v>
      </c>
      <c r="D1069" t="s">
        <v>11</v>
      </c>
      <c r="E1069">
        <v>928</v>
      </c>
      <c r="F1069">
        <v>13</v>
      </c>
      <c r="G1069">
        <v>31</v>
      </c>
      <c r="H1069">
        <v>915</v>
      </c>
      <c r="I1069">
        <v>1.4008620689655169</v>
      </c>
      <c r="J1069">
        <v>98.599137931034491</v>
      </c>
      <c r="K1069" t="str">
        <f>_xlfn.XLOOKUP(tblProduction[[#This Row],[Product]],tblProducts[Product],tblProducts[Category],"Not Found")</f>
        <v>Precision</v>
      </c>
      <c r="L1069">
        <f>_xlfn.XLOOKUP(tblProduction[[#This Row],[Product]],tblProducts[Product],tblProducts[Target_Units],"Not Found")</f>
        <v>950</v>
      </c>
    </row>
    <row r="1070" spans="1:12" x14ac:dyDescent="0.3">
      <c r="A1070" s="1">
        <v>46143</v>
      </c>
      <c r="B1070" t="s">
        <v>9</v>
      </c>
      <c r="C1070" t="s">
        <v>13</v>
      </c>
      <c r="D1070" t="s">
        <v>14</v>
      </c>
      <c r="E1070">
        <v>824</v>
      </c>
      <c r="F1070">
        <v>27</v>
      </c>
      <c r="G1070">
        <v>19</v>
      </c>
      <c r="H1070">
        <v>797</v>
      </c>
      <c r="I1070">
        <v>3.2766990291262141</v>
      </c>
      <c r="J1070">
        <v>96.72330097087378</v>
      </c>
      <c r="K1070" t="str">
        <f>_xlfn.XLOOKUP(tblProduction[[#This Row],[Product]],tblProducts[Product],tblProducts[Category],"Not Found")</f>
        <v>Assembly</v>
      </c>
      <c r="L1070">
        <f>_xlfn.XLOOKUP(tblProduction[[#This Row],[Product]],tblProducts[Product],tblProducts[Target_Units],"Not Found")</f>
        <v>850</v>
      </c>
    </row>
    <row r="1071" spans="1:12" x14ac:dyDescent="0.3">
      <c r="A1071" s="1">
        <v>46143</v>
      </c>
      <c r="B1071" t="s">
        <v>15</v>
      </c>
      <c r="C1071" t="s">
        <v>10</v>
      </c>
      <c r="D1071" t="s">
        <v>16</v>
      </c>
      <c r="E1071">
        <v>917</v>
      </c>
      <c r="F1071">
        <v>22</v>
      </c>
      <c r="G1071">
        <v>31</v>
      </c>
      <c r="H1071">
        <v>895</v>
      </c>
      <c r="I1071">
        <v>2.3991275899672848</v>
      </c>
      <c r="J1071">
        <v>97.600872410032707</v>
      </c>
      <c r="K1071" t="str">
        <f>_xlfn.XLOOKUP(tblProduction[[#This Row],[Product]],tblProducts[Product],tblProducts[Category],"Not Found")</f>
        <v>Standard</v>
      </c>
      <c r="L1071">
        <f>_xlfn.XLOOKUP(tblProduction[[#This Row],[Product]],tblProducts[Product],tblProducts[Target_Units],"Not Found")</f>
        <v>1000</v>
      </c>
    </row>
    <row r="1072" spans="1:12" x14ac:dyDescent="0.3">
      <c r="A1072" s="1">
        <v>46143</v>
      </c>
      <c r="B1072" t="s">
        <v>15</v>
      </c>
      <c r="C1072" t="s">
        <v>12</v>
      </c>
      <c r="D1072" t="s">
        <v>18</v>
      </c>
      <c r="E1072">
        <v>853</v>
      </c>
      <c r="F1072">
        <v>21</v>
      </c>
      <c r="G1072">
        <v>6</v>
      </c>
      <c r="H1072">
        <v>832</v>
      </c>
      <c r="I1072">
        <v>2.4618991793669398</v>
      </c>
      <c r="J1072">
        <v>97.538100820633062</v>
      </c>
      <c r="K1072" t="str">
        <f>_xlfn.XLOOKUP(tblProduction[[#This Row],[Product]],tblProducts[Product],tblProducts[Category],"Not Found")</f>
        <v>Assembly</v>
      </c>
      <c r="L1072">
        <f>_xlfn.XLOOKUP(tblProduction[[#This Row],[Product]],tblProducts[Product],tblProducts[Target_Units],"Not Found")</f>
        <v>900</v>
      </c>
    </row>
    <row r="1073" spans="1:12" x14ac:dyDescent="0.3">
      <c r="A1073" s="1">
        <v>46143</v>
      </c>
      <c r="B1073" t="s">
        <v>15</v>
      </c>
      <c r="C1073" t="s">
        <v>13</v>
      </c>
      <c r="D1073" t="s">
        <v>18</v>
      </c>
      <c r="E1073">
        <v>778</v>
      </c>
      <c r="F1073">
        <v>27</v>
      </c>
      <c r="G1073">
        <v>12</v>
      </c>
      <c r="H1073">
        <v>751</v>
      </c>
      <c r="I1073">
        <v>3.4704370179948589</v>
      </c>
      <c r="J1073">
        <v>96.529562982005146</v>
      </c>
      <c r="K1073" t="str">
        <f>_xlfn.XLOOKUP(tblProduction[[#This Row],[Product]],tblProducts[Product],tblProducts[Category],"Not Found")</f>
        <v>Assembly</v>
      </c>
      <c r="L1073">
        <f>_xlfn.XLOOKUP(tblProduction[[#This Row],[Product]],tblProducts[Product],tblProducts[Target_Units],"Not Found")</f>
        <v>900</v>
      </c>
    </row>
    <row r="1074" spans="1:12" x14ac:dyDescent="0.3">
      <c r="A1074" s="1">
        <v>46143</v>
      </c>
      <c r="B1074" t="s">
        <v>17</v>
      </c>
      <c r="C1074" t="s">
        <v>10</v>
      </c>
      <c r="D1074" t="s">
        <v>11</v>
      </c>
      <c r="E1074">
        <v>734</v>
      </c>
      <c r="F1074">
        <v>25</v>
      </c>
      <c r="G1074">
        <v>88</v>
      </c>
      <c r="H1074">
        <v>709</v>
      </c>
      <c r="I1074">
        <v>3.4059945504087201</v>
      </c>
      <c r="J1074">
        <v>96.594005449591279</v>
      </c>
      <c r="K1074" t="str">
        <f>_xlfn.XLOOKUP(tblProduction[[#This Row],[Product]],tblProducts[Product],tblProducts[Category],"Not Found")</f>
        <v>Precision</v>
      </c>
      <c r="L1074">
        <f>_xlfn.XLOOKUP(tblProduction[[#This Row],[Product]],tblProducts[Product],tblProducts[Target_Units],"Not Found")</f>
        <v>950</v>
      </c>
    </row>
    <row r="1075" spans="1:12" x14ac:dyDescent="0.3">
      <c r="A1075" s="1">
        <v>46143</v>
      </c>
      <c r="B1075" t="s">
        <v>17</v>
      </c>
      <c r="C1075" t="s">
        <v>12</v>
      </c>
      <c r="D1075" t="s">
        <v>14</v>
      </c>
      <c r="E1075">
        <v>706</v>
      </c>
      <c r="F1075">
        <v>30</v>
      </c>
      <c r="G1075">
        <v>33</v>
      </c>
      <c r="H1075">
        <v>676</v>
      </c>
      <c r="I1075">
        <v>4.2492917847025504</v>
      </c>
      <c r="J1075">
        <v>95.75070821529745</v>
      </c>
      <c r="K1075" t="str">
        <f>_xlfn.XLOOKUP(tblProduction[[#This Row],[Product]],tblProducts[Product],tblProducts[Category],"Not Found")</f>
        <v>Assembly</v>
      </c>
      <c r="L1075">
        <f>_xlfn.XLOOKUP(tblProduction[[#This Row],[Product]],tblProducts[Product],tblProducts[Target_Units],"Not Found")</f>
        <v>850</v>
      </c>
    </row>
    <row r="1076" spans="1:12" x14ac:dyDescent="0.3">
      <c r="A1076" s="1">
        <v>46143</v>
      </c>
      <c r="B1076" t="s">
        <v>17</v>
      </c>
      <c r="C1076" t="s">
        <v>13</v>
      </c>
      <c r="D1076" t="s">
        <v>16</v>
      </c>
      <c r="E1076">
        <v>758</v>
      </c>
      <c r="F1076">
        <v>34</v>
      </c>
      <c r="G1076">
        <v>19</v>
      </c>
      <c r="H1076">
        <v>724</v>
      </c>
      <c r="I1076">
        <v>4.4854881266490763</v>
      </c>
      <c r="J1076">
        <v>95.514511873350926</v>
      </c>
      <c r="K1076" t="str">
        <f>_xlfn.XLOOKUP(tblProduction[[#This Row],[Product]],tblProducts[Product],tblProducts[Category],"Not Found")</f>
        <v>Standard</v>
      </c>
      <c r="L1076">
        <f>_xlfn.XLOOKUP(tblProduction[[#This Row],[Product]],tblProducts[Product],tblProducts[Target_Units],"Not Found")</f>
        <v>1000</v>
      </c>
    </row>
    <row r="1077" spans="1:12" x14ac:dyDescent="0.3">
      <c r="A1077" s="1">
        <v>46144</v>
      </c>
      <c r="B1077" t="s">
        <v>9</v>
      </c>
      <c r="C1077" t="s">
        <v>10</v>
      </c>
      <c r="D1077" t="s">
        <v>16</v>
      </c>
      <c r="E1077">
        <v>1103</v>
      </c>
      <c r="F1077">
        <v>16</v>
      </c>
      <c r="G1077">
        <v>12</v>
      </c>
      <c r="H1077">
        <v>1087</v>
      </c>
      <c r="I1077">
        <v>1.450589301903898</v>
      </c>
      <c r="J1077">
        <v>98.549410698096096</v>
      </c>
      <c r="K1077" t="str">
        <f>_xlfn.XLOOKUP(tblProduction[[#This Row],[Product]],tblProducts[Product],tblProducts[Category],"Not Found")</f>
        <v>Standard</v>
      </c>
      <c r="L1077">
        <f>_xlfn.XLOOKUP(tblProduction[[#This Row],[Product]],tblProducts[Product],tblProducts[Target_Units],"Not Found")</f>
        <v>1000</v>
      </c>
    </row>
    <row r="1078" spans="1:12" x14ac:dyDescent="0.3">
      <c r="A1078" s="1">
        <v>46144</v>
      </c>
      <c r="B1078" t="s">
        <v>9</v>
      </c>
      <c r="C1078" t="s">
        <v>12</v>
      </c>
      <c r="D1078" t="s">
        <v>14</v>
      </c>
      <c r="E1078">
        <v>924</v>
      </c>
      <c r="F1078">
        <v>21</v>
      </c>
      <c r="G1078">
        <v>5</v>
      </c>
      <c r="H1078">
        <v>903</v>
      </c>
      <c r="I1078">
        <v>2.2727272727272729</v>
      </c>
      <c r="J1078">
        <v>97.727272727272734</v>
      </c>
      <c r="K1078" t="str">
        <f>_xlfn.XLOOKUP(tblProduction[[#This Row],[Product]],tblProducts[Product],tblProducts[Category],"Not Found")</f>
        <v>Assembly</v>
      </c>
      <c r="L1078">
        <f>_xlfn.XLOOKUP(tblProduction[[#This Row],[Product]],tblProducts[Product],tblProducts[Target_Units],"Not Found")</f>
        <v>850</v>
      </c>
    </row>
    <row r="1079" spans="1:12" x14ac:dyDescent="0.3">
      <c r="A1079" s="1">
        <v>46144</v>
      </c>
      <c r="B1079" t="s">
        <v>9</v>
      </c>
      <c r="C1079" t="s">
        <v>13</v>
      </c>
      <c r="D1079" t="s">
        <v>18</v>
      </c>
      <c r="E1079">
        <v>779</v>
      </c>
      <c r="F1079">
        <v>19</v>
      </c>
      <c r="G1079">
        <v>75</v>
      </c>
      <c r="H1079">
        <v>760</v>
      </c>
      <c r="I1079">
        <v>2.4390243902439019</v>
      </c>
      <c r="J1079">
        <v>97.560975609756099</v>
      </c>
      <c r="K1079" t="str">
        <f>_xlfn.XLOOKUP(tblProduction[[#This Row],[Product]],tblProducts[Product],tblProducts[Category],"Not Found")</f>
        <v>Assembly</v>
      </c>
      <c r="L1079">
        <f>_xlfn.XLOOKUP(tblProduction[[#This Row],[Product]],tblProducts[Product],tblProducts[Target_Units],"Not Found")</f>
        <v>900</v>
      </c>
    </row>
    <row r="1080" spans="1:12" x14ac:dyDescent="0.3">
      <c r="A1080" s="1">
        <v>46144</v>
      </c>
      <c r="B1080" t="s">
        <v>15</v>
      </c>
      <c r="C1080" t="s">
        <v>10</v>
      </c>
      <c r="D1080" t="s">
        <v>16</v>
      </c>
      <c r="E1080">
        <v>1017</v>
      </c>
      <c r="F1080">
        <v>25</v>
      </c>
      <c r="G1080">
        <v>11</v>
      </c>
      <c r="H1080">
        <v>992</v>
      </c>
      <c r="I1080">
        <v>2.458210422812193</v>
      </c>
      <c r="J1080">
        <v>97.541789577187814</v>
      </c>
      <c r="K1080" t="str">
        <f>_xlfn.XLOOKUP(tblProduction[[#This Row],[Product]],tblProducts[Product],tblProducts[Category],"Not Found")</f>
        <v>Standard</v>
      </c>
      <c r="L1080">
        <f>_xlfn.XLOOKUP(tblProduction[[#This Row],[Product]],tblProducts[Product],tblProducts[Target_Units],"Not Found")</f>
        <v>1000</v>
      </c>
    </row>
    <row r="1081" spans="1:12" x14ac:dyDescent="0.3">
      <c r="A1081" s="1">
        <v>46144</v>
      </c>
      <c r="B1081" t="s">
        <v>15</v>
      </c>
      <c r="C1081" t="s">
        <v>12</v>
      </c>
      <c r="D1081" t="s">
        <v>11</v>
      </c>
      <c r="E1081">
        <v>786</v>
      </c>
      <c r="F1081">
        <v>19</v>
      </c>
      <c r="G1081">
        <v>76</v>
      </c>
      <c r="H1081">
        <v>767</v>
      </c>
      <c r="I1081">
        <v>2.4173027989821878</v>
      </c>
      <c r="J1081">
        <v>97.582697201017808</v>
      </c>
      <c r="K1081" t="str">
        <f>_xlfn.XLOOKUP(tblProduction[[#This Row],[Product]],tblProducts[Product],tblProducts[Category],"Not Found")</f>
        <v>Precision</v>
      </c>
      <c r="L1081">
        <f>_xlfn.XLOOKUP(tblProduction[[#This Row],[Product]],tblProducts[Product],tblProducts[Target_Units],"Not Found")</f>
        <v>950</v>
      </c>
    </row>
    <row r="1082" spans="1:12" x14ac:dyDescent="0.3">
      <c r="A1082" s="1">
        <v>46144</v>
      </c>
      <c r="B1082" t="s">
        <v>15</v>
      </c>
      <c r="C1082" t="s">
        <v>13</v>
      </c>
      <c r="D1082" t="s">
        <v>11</v>
      </c>
      <c r="E1082">
        <v>815</v>
      </c>
      <c r="F1082">
        <v>28</v>
      </c>
      <c r="G1082">
        <v>40</v>
      </c>
      <c r="H1082">
        <v>787</v>
      </c>
      <c r="I1082">
        <v>3.4355828220858902</v>
      </c>
      <c r="J1082">
        <v>96.564417177914109</v>
      </c>
      <c r="K1082" t="str">
        <f>_xlfn.XLOOKUP(tblProduction[[#This Row],[Product]],tblProducts[Product],tblProducts[Category],"Not Found")</f>
        <v>Precision</v>
      </c>
      <c r="L1082">
        <f>_xlfn.XLOOKUP(tblProduction[[#This Row],[Product]],tblProducts[Product],tblProducts[Target_Units],"Not Found")</f>
        <v>950</v>
      </c>
    </row>
    <row r="1083" spans="1:12" x14ac:dyDescent="0.3">
      <c r="A1083" s="1">
        <v>46144</v>
      </c>
      <c r="B1083" t="s">
        <v>17</v>
      </c>
      <c r="C1083" t="s">
        <v>10</v>
      </c>
      <c r="D1083" t="s">
        <v>11</v>
      </c>
      <c r="E1083">
        <v>706</v>
      </c>
      <c r="F1083">
        <v>24</v>
      </c>
      <c r="G1083">
        <v>88</v>
      </c>
      <c r="H1083">
        <v>682</v>
      </c>
      <c r="I1083">
        <v>3.3994334277620402</v>
      </c>
      <c r="J1083">
        <v>96.600566572237952</v>
      </c>
      <c r="K1083" t="str">
        <f>_xlfn.XLOOKUP(tblProduction[[#This Row],[Product]],tblProducts[Product],tblProducts[Category],"Not Found")</f>
        <v>Precision</v>
      </c>
      <c r="L1083">
        <f>_xlfn.XLOOKUP(tblProduction[[#This Row],[Product]],tblProducts[Product],tblProducts[Target_Units],"Not Found")</f>
        <v>950</v>
      </c>
    </row>
    <row r="1084" spans="1:12" x14ac:dyDescent="0.3">
      <c r="A1084" s="1">
        <v>46144</v>
      </c>
      <c r="B1084" t="s">
        <v>17</v>
      </c>
      <c r="C1084" t="s">
        <v>12</v>
      </c>
      <c r="D1084" t="s">
        <v>18</v>
      </c>
      <c r="E1084">
        <v>649</v>
      </c>
      <c r="F1084">
        <v>22</v>
      </c>
      <c r="G1084">
        <v>87</v>
      </c>
      <c r="H1084">
        <v>627</v>
      </c>
      <c r="I1084">
        <v>3.3898305084745761</v>
      </c>
      <c r="J1084">
        <v>96.610169491525426</v>
      </c>
      <c r="K1084" t="str">
        <f>_xlfn.XLOOKUP(tblProduction[[#This Row],[Product]],tblProducts[Product],tblProducts[Category],"Not Found")</f>
        <v>Assembly</v>
      </c>
      <c r="L1084">
        <f>_xlfn.XLOOKUP(tblProduction[[#This Row],[Product]],tblProducts[Product],tblProducts[Target_Units],"Not Found")</f>
        <v>900</v>
      </c>
    </row>
    <row r="1085" spans="1:12" x14ac:dyDescent="0.3">
      <c r="A1085" s="1">
        <v>46144</v>
      </c>
      <c r="B1085" t="s">
        <v>17</v>
      </c>
      <c r="C1085" t="s">
        <v>13</v>
      </c>
      <c r="D1085" t="s">
        <v>18</v>
      </c>
      <c r="E1085">
        <v>688</v>
      </c>
      <c r="F1085">
        <v>30</v>
      </c>
      <c r="G1085">
        <v>18</v>
      </c>
      <c r="H1085">
        <v>658</v>
      </c>
      <c r="I1085">
        <v>4.3604651162790704</v>
      </c>
      <c r="J1085">
        <v>95.639534883720927</v>
      </c>
      <c r="K1085" t="str">
        <f>_xlfn.XLOOKUP(tblProduction[[#This Row],[Product]],tblProducts[Product],tblProducts[Category],"Not Found")</f>
        <v>Assembly</v>
      </c>
      <c r="L1085">
        <f>_xlfn.XLOOKUP(tblProduction[[#This Row],[Product]],tblProducts[Product],tblProducts[Target_Units],"Not Found")</f>
        <v>900</v>
      </c>
    </row>
    <row r="1086" spans="1:12" x14ac:dyDescent="0.3">
      <c r="A1086" s="1">
        <v>46145</v>
      </c>
      <c r="B1086" t="s">
        <v>9</v>
      </c>
      <c r="C1086" t="s">
        <v>10</v>
      </c>
      <c r="D1086" t="s">
        <v>18</v>
      </c>
      <c r="E1086">
        <v>878</v>
      </c>
      <c r="F1086">
        <v>13</v>
      </c>
      <c r="G1086">
        <v>73</v>
      </c>
      <c r="H1086">
        <v>865</v>
      </c>
      <c r="I1086">
        <v>1.480637813211845</v>
      </c>
      <c r="J1086">
        <v>98.519362186788157</v>
      </c>
      <c r="K1086" t="str">
        <f>_xlfn.XLOOKUP(tblProduction[[#This Row],[Product]],tblProducts[Product],tblProducts[Category],"Not Found")</f>
        <v>Assembly</v>
      </c>
      <c r="L1086">
        <f>_xlfn.XLOOKUP(tblProduction[[#This Row],[Product]],tblProducts[Product],tblProducts[Target_Units],"Not Found")</f>
        <v>900</v>
      </c>
    </row>
    <row r="1087" spans="1:12" x14ac:dyDescent="0.3">
      <c r="A1087" s="1">
        <v>46145</v>
      </c>
      <c r="B1087" t="s">
        <v>9</v>
      </c>
      <c r="C1087" t="s">
        <v>12</v>
      </c>
      <c r="D1087" t="s">
        <v>18</v>
      </c>
      <c r="E1087">
        <v>820</v>
      </c>
      <c r="F1087">
        <v>12</v>
      </c>
      <c r="G1087">
        <v>68</v>
      </c>
      <c r="H1087">
        <v>808</v>
      </c>
      <c r="I1087">
        <v>1.4634146341463421</v>
      </c>
      <c r="J1087">
        <v>98.536585365853654</v>
      </c>
      <c r="K1087" t="str">
        <f>_xlfn.XLOOKUP(tblProduction[[#This Row],[Product]],tblProducts[Product],tblProducts[Category],"Not Found")</f>
        <v>Assembly</v>
      </c>
      <c r="L1087">
        <f>_xlfn.XLOOKUP(tblProduction[[#This Row],[Product]],tblProducts[Product],tblProducts[Target_Units],"Not Found")</f>
        <v>900</v>
      </c>
    </row>
    <row r="1088" spans="1:12" x14ac:dyDescent="0.3">
      <c r="A1088" s="1">
        <v>46145</v>
      </c>
      <c r="B1088" t="s">
        <v>9</v>
      </c>
      <c r="C1088" t="s">
        <v>13</v>
      </c>
      <c r="D1088" t="s">
        <v>18</v>
      </c>
      <c r="E1088">
        <v>823</v>
      </c>
      <c r="F1088">
        <v>20</v>
      </c>
      <c r="G1088">
        <v>38</v>
      </c>
      <c r="H1088">
        <v>803</v>
      </c>
      <c r="I1088">
        <v>2.4301336573511541</v>
      </c>
      <c r="J1088">
        <v>97.569866342648851</v>
      </c>
      <c r="K1088" t="str">
        <f>_xlfn.XLOOKUP(tblProduction[[#This Row],[Product]],tblProducts[Product],tblProducts[Category],"Not Found")</f>
        <v>Assembly</v>
      </c>
      <c r="L1088">
        <f>_xlfn.XLOOKUP(tblProduction[[#This Row],[Product]],tblProducts[Product],tblProducts[Target_Units],"Not Found")</f>
        <v>900</v>
      </c>
    </row>
    <row r="1089" spans="1:12" x14ac:dyDescent="0.3">
      <c r="A1089" s="1">
        <v>46145</v>
      </c>
      <c r="B1089" t="s">
        <v>15</v>
      </c>
      <c r="C1089" t="s">
        <v>10</v>
      </c>
      <c r="D1089" t="s">
        <v>18</v>
      </c>
      <c r="E1089">
        <v>790</v>
      </c>
      <c r="F1089">
        <v>19</v>
      </c>
      <c r="G1089">
        <v>89</v>
      </c>
      <c r="H1089">
        <v>771</v>
      </c>
      <c r="I1089">
        <v>2.40506329113924</v>
      </c>
      <c r="J1089">
        <v>97.594936708860757</v>
      </c>
      <c r="K1089" t="str">
        <f>_xlfn.XLOOKUP(tblProduction[[#This Row],[Product]],tblProducts[Product],tblProducts[Category],"Not Found")</f>
        <v>Assembly</v>
      </c>
      <c r="L1089">
        <f>_xlfn.XLOOKUP(tblProduction[[#This Row],[Product]],tblProducts[Product],tblProducts[Target_Units],"Not Found")</f>
        <v>900</v>
      </c>
    </row>
    <row r="1090" spans="1:12" x14ac:dyDescent="0.3">
      <c r="A1090" s="1">
        <v>46145</v>
      </c>
      <c r="B1090" t="s">
        <v>15</v>
      </c>
      <c r="C1090" t="s">
        <v>12</v>
      </c>
      <c r="D1090" t="s">
        <v>18</v>
      </c>
      <c r="E1090">
        <v>792</v>
      </c>
      <c r="F1090">
        <v>19</v>
      </c>
      <c r="G1090">
        <v>57</v>
      </c>
      <c r="H1090">
        <v>773</v>
      </c>
      <c r="I1090">
        <v>2.3989898989898988</v>
      </c>
      <c r="J1090">
        <v>97.601010101010104</v>
      </c>
      <c r="K1090" t="str">
        <f>_xlfn.XLOOKUP(tblProduction[[#This Row],[Product]],tblProducts[Product],tblProducts[Category],"Not Found")</f>
        <v>Assembly</v>
      </c>
      <c r="L1090">
        <f>_xlfn.XLOOKUP(tblProduction[[#This Row],[Product]],tblProducts[Product],tblProducts[Target_Units],"Not Found")</f>
        <v>900</v>
      </c>
    </row>
    <row r="1091" spans="1:12" x14ac:dyDescent="0.3">
      <c r="A1091" s="1">
        <v>46145</v>
      </c>
      <c r="B1091" t="s">
        <v>15</v>
      </c>
      <c r="C1091" t="s">
        <v>13</v>
      </c>
      <c r="D1091" t="s">
        <v>16</v>
      </c>
      <c r="E1091">
        <v>771</v>
      </c>
      <c r="F1091">
        <v>26</v>
      </c>
      <c r="G1091">
        <v>76</v>
      </c>
      <c r="H1091">
        <v>745</v>
      </c>
      <c r="I1091">
        <v>3.3722438391699092</v>
      </c>
      <c r="J1091">
        <v>96.627756160830089</v>
      </c>
      <c r="K1091" t="str">
        <f>_xlfn.XLOOKUP(tblProduction[[#This Row],[Product]],tblProducts[Product],tblProducts[Category],"Not Found")</f>
        <v>Standard</v>
      </c>
      <c r="L1091">
        <f>_xlfn.XLOOKUP(tblProduction[[#This Row],[Product]],tblProducts[Product],tblProducts[Target_Units],"Not Found")</f>
        <v>1000</v>
      </c>
    </row>
    <row r="1092" spans="1:12" x14ac:dyDescent="0.3">
      <c r="A1092" s="1">
        <v>46145</v>
      </c>
      <c r="B1092" t="s">
        <v>17</v>
      </c>
      <c r="C1092" t="s">
        <v>10</v>
      </c>
      <c r="D1092" t="s">
        <v>16</v>
      </c>
      <c r="E1092">
        <v>852</v>
      </c>
      <c r="F1092">
        <v>29</v>
      </c>
      <c r="G1092">
        <v>44</v>
      </c>
      <c r="H1092">
        <v>823</v>
      </c>
      <c r="I1092">
        <v>3.403755868544601</v>
      </c>
      <c r="J1092">
        <v>96.596244131455393</v>
      </c>
      <c r="K1092" t="str">
        <f>_xlfn.XLOOKUP(tblProduction[[#This Row],[Product]],tblProducts[Product],tblProducts[Category],"Not Found")</f>
        <v>Standard</v>
      </c>
      <c r="L1092">
        <f>_xlfn.XLOOKUP(tblProduction[[#This Row],[Product]],tblProducts[Product],tblProducts[Target_Units],"Not Found")</f>
        <v>1000</v>
      </c>
    </row>
    <row r="1093" spans="1:12" x14ac:dyDescent="0.3">
      <c r="A1093" s="1">
        <v>46145</v>
      </c>
      <c r="B1093" t="s">
        <v>17</v>
      </c>
      <c r="C1093" t="s">
        <v>12</v>
      </c>
      <c r="D1093" t="s">
        <v>16</v>
      </c>
      <c r="E1093">
        <v>734</v>
      </c>
      <c r="F1093">
        <v>25</v>
      </c>
      <c r="G1093">
        <v>79</v>
      </c>
      <c r="H1093">
        <v>709</v>
      </c>
      <c r="I1093">
        <v>3.4059945504087201</v>
      </c>
      <c r="J1093">
        <v>96.594005449591279</v>
      </c>
      <c r="K1093" t="str">
        <f>_xlfn.XLOOKUP(tblProduction[[#This Row],[Product]],tblProducts[Product],tblProducts[Category],"Not Found")</f>
        <v>Standard</v>
      </c>
      <c r="L1093">
        <f>_xlfn.XLOOKUP(tblProduction[[#This Row],[Product]],tblProducts[Product],tblProducts[Target_Units],"Not Found")</f>
        <v>1000</v>
      </c>
    </row>
    <row r="1094" spans="1:12" x14ac:dyDescent="0.3">
      <c r="A1094" s="1">
        <v>46145</v>
      </c>
      <c r="B1094" t="s">
        <v>17</v>
      </c>
      <c r="C1094" t="s">
        <v>13</v>
      </c>
      <c r="D1094" t="s">
        <v>16</v>
      </c>
      <c r="E1094">
        <v>724</v>
      </c>
      <c r="F1094">
        <v>32</v>
      </c>
      <c r="G1094">
        <v>31</v>
      </c>
      <c r="H1094">
        <v>692</v>
      </c>
      <c r="I1094">
        <v>4.4198895027624303</v>
      </c>
      <c r="J1094">
        <v>95.58011049723757</v>
      </c>
      <c r="K1094" t="str">
        <f>_xlfn.XLOOKUP(tblProduction[[#This Row],[Product]],tblProducts[Product],tblProducts[Category],"Not Found")</f>
        <v>Standard</v>
      </c>
      <c r="L1094">
        <f>_xlfn.XLOOKUP(tblProduction[[#This Row],[Product]],tblProducts[Product],tblProducts[Target_Units],"Not Found")</f>
        <v>1000</v>
      </c>
    </row>
    <row r="1095" spans="1:12" x14ac:dyDescent="0.3">
      <c r="A1095" s="1">
        <v>46146</v>
      </c>
      <c r="B1095" t="s">
        <v>9</v>
      </c>
      <c r="C1095" t="s">
        <v>10</v>
      </c>
      <c r="D1095" t="s">
        <v>14</v>
      </c>
      <c r="E1095">
        <v>873</v>
      </c>
      <c r="F1095">
        <v>20</v>
      </c>
      <c r="G1095">
        <v>59</v>
      </c>
      <c r="H1095">
        <v>853</v>
      </c>
      <c r="I1095">
        <v>2.2909507445589918</v>
      </c>
      <c r="J1095">
        <v>97.709049255441002</v>
      </c>
      <c r="K1095" t="str">
        <f>_xlfn.XLOOKUP(tblProduction[[#This Row],[Product]],tblProducts[Product],tblProducts[Category],"Not Found")</f>
        <v>Assembly</v>
      </c>
      <c r="L1095">
        <f>_xlfn.XLOOKUP(tblProduction[[#This Row],[Product]],tblProducts[Product],tblProducts[Target_Units],"Not Found")</f>
        <v>850</v>
      </c>
    </row>
    <row r="1096" spans="1:12" x14ac:dyDescent="0.3">
      <c r="A1096" s="1">
        <v>46146</v>
      </c>
      <c r="B1096" t="s">
        <v>9</v>
      </c>
      <c r="C1096" t="s">
        <v>12</v>
      </c>
      <c r="D1096" t="s">
        <v>14</v>
      </c>
      <c r="E1096">
        <v>818</v>
      </c>
      <c r="F1096">
        <v>18</v>
      </c>
      <c r="G1096">
        <v>30</v>
      </c>
      <c r="H1096">
        <v>800</v>
      </c>
      <c r="I1096">
        <v>2.2004889975550119</v>
      </c>
      <c r="J1096">
        <v>97.799511002444987</v>
      </c>
      <c r="K1096" t="str">
        <f>_xlfn.XLOOKUP(tblProduction[[#This Row],[Product]],tblProducts[Product],tblProducts[Category],"Not Found")</f>
        <v>Assembly</v>
      </c>
      <c r="L1096">
        <f>_xlfn.XLOOKUP(tblProduction[[#This Row],[Product]],tblProducts[Product],tblProducts[Target_Units],"Not Found")</f>
        <v>850</v>
      </c>
    </row>
    <row r="1097" spans="1:12" x14ac:dyDescent="0.3">
      <c r="A1097" s="1">
        <v>46146</v>
      </c>
      <c r="B1097" t="s">
        <v>9</v>
      </c>
      <c r="C1097" t="s">
        <v>13</v>
      </c>
      <c r="D1097" t="s">
        <v>18</v>
      </c>
      <c r="E1097">
        <v>812</v>
      </c>
      <c r="F1097">
        <v>20</v>
      </c>
      <c r="G1097">
        <v>43</v>
      </c>
      <c r="H1097">
        <v>792</v>
      </c>
      <c r="I1097">
        <v>2.4630541871921179</v>
      </c>
      <c r="J1097">
        <v>97.536945812807886</v>
      </c>
      <c r="K1097" t="str">
        <f>_xlfn.XLOOKUP(tblProduction[[#This Row],[Product]],tblProducts[Product],tblProducts[Category],"Not Found")</f>
        <v>Assembly</v>
      </c>
      <c r="L1097">
        <f>_xlfn.XLOOKUP(tblProduction[[#This Row],[Product]],tblProducts[Product],tblProducts[Target_Units],"Not Found")</f>
        <v>900</v>
      </c>
    </row>
    <row r="1098" spans="1:12" x14ac:dyDescent="0.3">
      <c r="A1098" s="1">
        <v>46146</v>
      </c>
      <c r="B1098" t="s">
        <v>15</v>
      </c>
      <c r="C1098" t="s">
        <v>10</v>
      </c>
      <c r="D1098" t="s">
        <v>18</v>
      </c>
      <c r="E1098">
        <v>864</v>
      </c>
      <c r="F1098">
        <v>21</v>
      </c>
      <c r="G1098">
        <v>40</v>
      </c>
      <c r="H1098">
        <v>843</v>
      </c>
      <c r="I1098">
        <v>2.4305555555555558</v>
      </c>
      <c r="J1098">
        <v>97.569444444444443</v>
      </c>
      <c r="K1098" t="str">
        <f>_xlfn.XLOOKUP(tblProduction[[#This Row],[Product]],tblProducts[Product],tblProducts[Category],"Not Found")</f>
        <v>Assembly</v>
      </c>
      <c r="L1098">
        <f>_xlfn.XLOOKUP(tblProduction[[#This Row],[Product]],tblProducts[Product],tblProducts[Target_Units],"Not Found")</f>
        <v>900</v>
      </c>
    </row>
    <row r="1099" spans="1:12" x14ac:dyDescent="0.3">
      <c r="A1099" s="1">
        <v>46146</v>
      </c>
      <c r="B1099" t="s">
        <v>15</v>
      </c>
      <c r="C1099" t="s">
        <v>12</v>
      </c>
      <c r="D1099" t="s">
        <v>18</v>
      </c>
      <c r="E1099">
        <v>757</v>
      </c>
      <c r="F1099">
        <v>18</v>
      </c>
      <c r="G1099">
        <v>46</v>
      </c>
      <c r="H1099">
        <v>739</v>
      </c>
      <c r="I1099">
        <v>2.3778071334213999</v>
      </c>
      <c r="J1099">
        <v>97.622192866578601</v>
      </c>
      <c r="K1099" t="str">
        <f>_xlfn.XLOOKUP(tblProduction[[#This Row],[Product]],tblProducts[Product],tblProducts[Category],"Not Found")</f>
        <v>Assembly</v>
      </c>
      <c r="L1099">
        <f>_xlfn.XLOOKUP(tblProduction[[#This Row],[Product]],tblProducts[Product],tblProducts[Target_Units],"Not Found")</f>
        <v>900</v>
      </c>
    </row>
    <row r="1100" spans="1:12" x14ac:dyDescent="0.3">
      <c r="A1100" s="1">
        <v>46146</v>
      </c>
      <c r="B1100" t="s">
        <v>15</v>
      </c>
      <c r="C1100" t="s">
        <v>13</v>
      </c>
      <c r="D1100" t="s">
        <v>11</v>
      </c>
      <c r="E1100">
        <v>736</v>
      </c>
      <c r="F1100">
        <v>25</v>
      </c>
      <c r="G1100">
        <v>73</v>
      </c>
      <c r="H1100">
        <v>711</v>
      </c>
      <c r="I1100">
        <v>3.3967391304347818</v>
      </c>
      <c r="J1100">
        <v>96.603260869565219</v>
      </c>
      <c r="K1100" t="str">
        <f>_xlfn.XLOOKUP(tblProduction[[#This Row],[Product]],tblProducts[Product],tblProducts[Category],"Not Found")</f>
        <v>Precision</v>
      </c>
      <c r="L1100">
        <f>_xlfn.XLOOKUP(tblProduction[[#This Row],[Product]],tblProducts[Product],tblProducts[Target_Units],"Not Found")</f>
        <v>950</v>
      </c>
    </row>
    <row r="1101" spans="1:12" x14ac:dyDescent="0.3">
      <c r="A1101" s="1">
        <v>46146</v>
      </c>
      <c r="B1101" t="s">
        <v>17</v>
      </c>
      <c r="C1101" t="s">
        <v>10</v>
      </c>
      <c r="D1101" t="s">
        <v>16</v>
      </c>
      <c r="E1101">
        <v>821</v>
      </c>
      <c r="F1101">
        <v>28</v>
      </c>
      <c r="G1101">
        <v>58</v>
      </c>
      <c r="H1101">
        <v>793</v>
      </c>
      <c r="I1101">
        <v>3.4104750304506699</v>
      </c>
      <c r="J1101">
        <v>96.589524969549331</v>
      </c>
      <c r="K1101" t="str">
        <f>_xlfn.XLOOKUP(tblProduction[[#This Row],[Product]],tblProducts[Product],tblProducts[Category],"Not Found")</f>
        <v>Standard</v>
      </c>
      <c r="L1101">
        <f>_xlfn.XLOOKUP(tblProduction[[#This Row],[Product]],tblProducts[Product],tblProducts[Target_Units],"Not Found")</f>
        <v>1000</v>
      </c>
    </row>
    <row r="1102" spans="1:12" x14ac:dyDescent="0.3">
      <c r="A1102" s="1">
        <v>46146</v>
      </c>
      <c r="B1102" t="s">
        <v>17</v>
      </c>
      <c r="C1102" t="s">
        <v>12</v>
      </c>
      <c r="D1102" t="s">
        <v>18</v>
      </c>
      <c r="E1102">
        <v>746</v>
      </c>
      <c r="F1102">
        <v>26</v>
      </c>
      <c r="G1102">
        <v>1</v>
      </c>
      <c r="H1102">
        <v>720</v>
      </c>
      <c r="I1102">
        <v>3.4852546916890081</v>
      </c>
      <c r="J1102">
        <v>96.514745308310992</v>
      </c>
      <c r="K1102" t="str">
        <f>_xlfn.XLOOKUP(tblProduction[[#This Row],[Product]],tblProducts[Product],tblProducts[Category],"Not Found")</f>
        <v>Assembly</v>
      </c>
      <c r="L1102">
        <f>_xlfn.XLOOKUP(tblProduction[[#This Row],[Product]],tblProducts[Product],tblProducts[Target_Units],"Not Found")</f>
        <v>900</v>
      </c>
    </row>
    <row r="1103" spans="1:12" x14ac:dyDescent="0.3">
      <c r="A1103" s="1">
        <v>46146</v>
      </c>
      <c r="B1103" t="s">
        <v>17</v>
      </c>
      <c r="C1103" t="s">
        <v>13</v>
      </c>
      <c r="D1103" t="s">
        <v>11</v>
      </c>
      <c r="E1103">
        <v>684</v>
      </c>
      <c r="F1103">
        <v>30</v>
      </c>
      <c r="G1103">
        <v>46</v>
      </c>
      <c r="H1103">
        <v>654</v>
      </c>
      <c r="I1103">
        <v>4.3859649122807012</v>
      </c>
      <c r="J1103">
        <v>95.614035087719301</v>
      </c>
      <c r="K1103" t="str">
        <f>_xlfn.XLOOKUP(tblProduction[[#This Row],[Product]],tblProducts[Product],tblProducts[Category],"Not Found")</f>
        <v>Precision</v>
      </c>
      <c r="L1103">
        <f>_xlfn.XLOOKUP(tblProduction[[#This Row],[Product]],tblProducts[Product],tblProducts[Target_Units],"Not Found")</f>
        <v>950</v>
      </c>
    </row>
    <row r="1104" spans="1:12" x14ac:dyDescent="0.3">
      <c r="A1104" s="1">
        <v>46147</v>
      </c>
      <c r="B1104" t="s">
        <v>9</v>
      </c>
      <c r="C1104" t="s">
        <v>10</v>
      </c>
      <c r="D1104" t="s">
        <v>16</v>
      </c>
      <c r="E1104">
        <v>966</v>
      </c>
      <c r="F1104">
        <v>14</v>
      </c>
      <c r="G1104">
        <v>69</v>
      </c>
      <c r="H1104">
        <v>952</v>
      </c>
      <c r="I1104">
        <v>1.449275362318841</v>
      </c>
      <c r="J1104">
        <v>98.550724637681171</v>
      </c>
      <c r="K1104" t="str">
        <f>_xlfn.XLOOKUP(tblProduction[[#This Row],[Product]],tblProducts[Product],tblProducts[Category],"Not Found")</f>
        <v>Standard</v>
      </c>
      <c r="L1104">
        <f>_xlfn.XLOOKUP(tblProduction[[#This Row],[Product]],tblProducts[Product],tblProducts[Target_Units],"Not Found")</f>
        <v>1000</v>
      </c>
    </row>
    <row r="1105" spans="1:12" x14ac:dyDescent="0.3">
      <c r="A1105" s="1">
        <v>46147</v>
      </c>
      <c r="B1105" t="s">
        <v>9</v>
      </c>
      <c r="C1105" t="s">
        <v>12</v>
      </c>
      <c r="D1105" t="s">
        <v>14</v>
      </c>
      <c r="E1105">
        <v>791</v>
      </c>
      <c r="F1105">
        <v>18</v>
      </c>
      <c r="G1105">
        <v>50</v>
      </c>
      <c r="H1105">
        <v>773</v>
      </c>
      <c r="I1105">
        <v>2.2756005056890012</v>
      </c>
      <c r="J1105">
        <v>97.724399494311001</v>
      </c>
      <c r="K1105" t="str">
        <f>_xlfn.XLOOKUP(tblProduction[[#This Row],[Product]],tblProducts[Product],tblProducts[Category],"Not Found")</f>
        <v>Assembly</v>
      </c>
      <c r="L1105">
        <f>_xlfn.XLOOKUP(tblProduction[[#This Row],[Product]],tblProducts[Product],tblProducts[Target_Units],"Not Found")</f>
        <v>850</v>
      </c>
    </row>
    <row r="1106" spans="1:12" x14ac:dyDescent="0.3">
      <c r="A1106" s="1">
        <v>46147</v>
      </c>
      <c r="B1106" t="s">
        <v>9</v>
      </c>
      <c r="C1106" t="s">
        <v>13</v>
      </c>
      <c r="D1106" t="s">
        <v>18</v>
      </c>
      <c r="E1106">
        <v>813</v>
      </c>
      <c r="F1106">
        <v>20</v>
      </c>
      <c r="G1106">
        <v>40</v>
      </c>
      <c r="H1106">
        <v>793</v>
      </c>
      <c r="I1106">
        <v>2.460024600246002</v>
      </c>
      <c r="J1106">
        <v>97.539975399753999</v>
      </c>
      <c r="K1106" t="str">
        <f>_xlfn.XLOOKUP(tblProduction[[#This Row],[Product]],tblProducts[Product],tblProducts[Category],"Not Found")</f>
        <v>Assembly</v>
      </c>
      <c r="L1106">
        <f>_xlfn.XLOOKUP(tblProduction[[#This Row],[Product]],tblProducts[Product],tblProducts[Target_Units],"Not Found")</f>
        <v>900</v>
      </c>
    </row>
    <row r="1107" spans="1:12" x14ac:dyDescent="0.3">
      <c r="A1107" s="1">
        <v>46147</v>
      </c>
      <c r="B1107" t="s">
        <v>15</v>
      </c>
      <c r="C1107" t="s">
        <v>10</v>
      </c>
      <c r="D1107" t="s">
        <v>18</v>
      </c>
      <c r="E1107">
        <v>744</v>
      </c>
      <c r="F1107">
        <v>18</v>
      </c>
      <c r="G1107">
        <v>90</v>
      </c>
      <c r="H1107">
        <v>726</v>
      </c>
      <c r="I1107">
        <v>2.419354838709677</v>
      </c>
      <c r="J1107">
        <v>97.58064516129032</v>
      </c>
      <c r="K1107" t="str">
        <f>_xlfn.XLOOKUP(tblProduction[[#This Row],[Product]],tblProducts[Product],tblProducts[Category],"Not Found")</f>
        <v>Assembly</v>
      </c>
      <c r="L1107">
        <f>_xlfn.XLOOKUP(tblProduction[[#This Row],[Product]],tblProducts[Product],tblProducts[Target_Units],"Not Found")</f>
        <v>900</v>
      </c>
    </row>
    <row r="1108" spans="1:12" x14ac:dyDescent="0.3">
      <c r="A1108" s="1">
        <v>46147</v>
      </c>
      <c r="B1108" t="s">
        <v>15</v>
      </c>
      <c r="C1108" t="s">
        <v>12</v>
      </c>
      <c r="D1108" t="s">
        <v>14</v>
      </c>
      <c r="E1108">
        <v>687</v>
      </c>
      <c r="F1108">
        <v>22</v>
      </c>
      <c r="G1108">
        <v>76</v>
      </c>
      <c r="H1108">
        <v>665</v>
      </c>
      <c r="I1108">
        <v>3.2023289665211059</v>
      </c>
      <c r="J1108">
        <v>96.797671033478892</v>
      </c>
      <c r="K1108" t="str">
        <f>_xlfn.XLOOKUP(tblProduction[[#This Row],[Product]],tblProducts[Product],tblProducts[Category],"Not Found")</f>
        <v>Assembly</v>
      </c>
      <c r="L1108">
        <f>_xlfn.XLOOKUP(tblProduction[[#This Row],[Product]],tblProducts[Product],tblProducts[Target_Units],"Not Found")</f>
        <v>850</v>
      </c>
    </row>
    <row r="1109" spans="1:12" x14ac:dyDescent="0.3">
      <c r="A1109" s="1">
        <v>46147</v>
      </c>
      <c r="B1109" t="s">
        <v>15</v>
      </c>
      <c r="C1109" t="s">
        <v>13</v>
      </c>
      <c r="D1109" t="s">
        <v>16</v>
      </c>
      <c r="E1109">
        <v>752</v>
      </c>
      <c r="F1109">
        <v>26</v>
      </c>
      <c r="G1109">
        <v>73</v>
      </c>
      <c r="H1109">
        <v>726</v>
      </c>
      <c r="I1109">
        <v>3.457446808510638</v>
      </c>
      <c r="J1109">
        <v>96.542553191489361</v>
      </c>
      <c r="K1109" t="str">
        <f>_xlfn.XLOOKUP(tblProduction[[#This Row],[Product]],tblProducts[Product],tblProducts[Category],"Not Found")</f>
        <v>Standard</v>
      </c>
      <c r="L1109">
        <f>_xlfn.XLOOKUP(tblProduction[[#This Row],[Product]],tblProducts[Product],tblProducts[Target_Units],"Not Found")</f>
        <v>1000</v>
      </c>
    </row>
    <row r="1110" spans="1:12" x14ac:dyDescent="0.3">
      <c r="A1110" s="1">
        <v>46147</v>
      </c>
      <c r="B1110" t="s">
        <v>17</v>
      </c>
      <c r="C1110" t="s">
        <v>10</v>
      </c>
      <c r="D1110" t="s">
        <v>18</v>
      </c>
      <c r="E1110">
        <v>750</v>
      </c>
      <c r="F1110">
        <v>26</v>
      </c>
      <c r="G1110">
        <v>32</v>
      </c>
      <c r="H1110">
        <v>724</v>
      </c>
      <c r="I1110">
        <v>3.4666666666666659</v>
      </c>
      <c r="J1110">
        <v>96.533333333333331</v>
      </c>
      <c r="K1110" t="str">
        <f>_xlfn.XLOOKUP(tblProduction[[#This Row],[Product]],tblProducts[Product],tblProducts[Category],"Not Found")</f>
        <v>Assembly</v>
      </c>
      <c r="L1110">
        <f>_xlfn.XLOOKUP(tblProduction[[#This Row],[Product]],tblProducts[Product],tblProducts[Target_Units],"Not Found")</f>
        <v>900</v>
      </c>
    </row>
    <row r="1111" spans="1:12" x14ac:dyDescent="0.3">
      <c r="A1111" s="1">
        <v>46147</v>
      </c>
      <c r="B1111" t="s">
        <v>17</v>
      </c>
      <c r="C1111" t="s">
        <v>12</v>
      </c>
      <c r="D1111" t="s">
        <v>14</v>
      </c>
      <c r="E1111">
        <v>667</v>
      </c>
      <c r="F1111">
        <v>28</v>
      </c>
      <c r="G1111">
        <v>42</v>
      </c>
      <c r="H1111">
        <v>639</v>
      </c>
      <c r="I1111">
        <v>4.1979010494752629</v>
      </c>
      <c r="J1111">
        <v>95.802098950524737</v>
      </c>
      <c r="K1111" t="str">
        <f>_xlfn.XLOOKUP(tblProduction[[#This Row],[Product]],tblProducts[Product],tblProducts[Category],"Not Found")</f>
        <v>Assembly</v>
      </c>
      <c r="L1111">
        <f>_xlfn.XLOOKUP(tblProduction[[#This Row],[Product]],tblProducts[Product],tblProducts[Target_Units],"Not Found")</f>
        <v>850</v>
      </c>
    </row>
    <row r="1112" spans="1:12" x14ac:dyDescent="0.3">
      <c r="A1112" s="1">
        <v>46147</v>
      </c>
      <c r="B1112" t="s">
        <v>17</v>
      </c>
      <c r="C1112" t="s">
        <v>13</v>
      </c>
      <c r="D1112" t="s">
        <v>14</v>
      </c>
      <c r="E1112">
        <v>561</v>
      </c>
      <c r="F1112">
        <v>29</v>
      </c>
      <c r="G1112">
        <v>90</v>
      </c>
      <c r="H1112">
        <v>532</v>
      </c>
      <c r="I1112">
        <v>5.169340463458111</v>
      </c>
      <c r="J1112">
        <v>94.830659536541901</v>
      </c>
      <c r="K1112" t="str">
        <f>_xlfn.XLOOKUP(tblProduction[[#This Row],[Product]],tblProducts[Product],tblProducts[Category],"Not Found")</f>
        <v>Assembly</v>
      </c>
      <c r="L1112">
        <f>_xlfn.XLOOKUP(tblProduction[[#This Row],[Product]],tblProducts[Product],tblProducts[Target_Units],"Not Found")</f>
        <v>850</v>
      </c>
    </row>
    <row r="1113" spans="1:12" x14ac:dyDescent="0.3">
      <c r="A1113" s="1">
        <v>46148</v>
      </c>
      <c r="B1113" t="s">
        <v>9</v>
      </c>
      <c r="C1113" t="s">
        <v>10</v>
      </c>
      <c r="D1113" t="s">
        <v>14</v>
      </c>
      <c r="E1113">
        <v>825</v>
      </c>
      <c r="F1113">
        <v>18</v>
      </c>
      <c r="G1113">
        <v>56</v>
      </c>
      <c r="H1113">
        <v>807</v>
      </c>
      <c r="I1113">
        <v>2.1818181818181821</v>
      </c>
      <c r="J1113">
        <v>97.818181818181813</v>
      </c>
      <c r="K1113" t="str">
        <f>_xlfn.XLOOKUP(tblProduction[[#This Row],[Product]],tblProducts[Product],tblProducts[Category],"Not Found")</f>
        <v>Assembly</v>
      </c>
      <c r="L1113">
        <f>_xlfn.XLOOKUP(tblProduction[[#This Row],[Product]],tblProducts[Product],tblProducts[Target_Units],"Not Found")</f>
        <v>850</v>
      </c>
    </row>
    <row r="1114" spans="1:12" x14ac:dyDescent="0.3">
      <c r="A1114" s="1">
        <v>46148</v>
      </c>
      <c r="B1114" t="s">
        <v>9</v>
      </c>
      <c r="C1114" t="s">
        <v>12</v>
      </c>
      <c r="D1114" t="s">
        <v>18</v>
      </c>
      <c r="E1114">
        <v>944</v>
      </c>
      <c r="F1114">
        <v>14</v>
      </c>
      <c r="G1114">
        <v>11</v>
      </c>
      <c r="H1114">
        <v>930</v>
      </c>
      <c r="I1114">
        <v>1.4830508474576269</v>
      </c>
      <c r="J1114">
        <v>98.516949152542381</v>
      </c>
      <c r="K1114" t="str">
        <f>_xlfn.XLOOKUP(tblProduction[[#This Row],[Product]],tblProducts[Product],tblProducts[Category],"Not Found")</f>
        <v>Assembly</v>
      </c>
      <c r="L1114">
        <f>_xlfn.XLOOKUP(tblProduction[[#This Row],[Product]],tblProducts[Product],tblProducts[Target_Units],"Not Found")</f>
        <v>900</v>
      </c>
    </row>
    <row r="1115" spans="1:12" x14ac:dyDescent="0.3">
      <c r="A1115" s="1">
        <v>46148</v>
      </c>
      <c r="B1115" t="s">
        <v>9</v>
      </c>
      <c r="C1115" t="s">
        <v>13</v>
      </c>
      <c r="D1115" t="s">
        <v>14</v>
      </c>
      <c r="E1115">
        <v>851</v>
      </c>
      <c r="F1115">
        <v>28</v>
      </c>
      <c r="G1115">
        <v>2</v>
      </c>
      <c r="H1115">
        <v>823</v>
      </c>
      <c r="I1115">
        <v>3.2902467685076382</v>
      </c>
      <c r="J1115">
        <v>96.709753231492357</v>
      </c>
      <c r="K1115" t="str">
        <f>_xlfn.XLOOKUP(tblProduction[[#This Row],[Product]],tblProducts[Product],tblProducts[Category],"Not Found")</f>
        <v>Assembly</v>
      </c>
      <c r="L1115">
        <f>_xlfn.XLOOKUP(tblProduction[[#This Row],[Product]],tblProducts[Product],tblProducts[Target_Units],"Not Found")</f>
        <v>850</v>
      </c>
    </row>
    <row r="1116" spans="1:12" x14ac:dyDescent="0.3">
      <c r="A1116" s="1">
        <v>46148</v>
      </c>
      <c r="B1116" t="s">
        <v>15</v>
      </c>
      <c r="C1116" t="s">
        <v>10</v>
      </c>
      <c r="D1116" t="s">
        <v>14</v>
      </c>
      <c r="E1116">
        <v>758</v>
      </c>
      <c r="F1116">
        <v>25</v>
      </c>
      <c r="G1116">
        <v>69</v>
      </c>
      <c r="H1116">
        <v>733</v>
      </c>
      <c r="I1116">
        <v>3.2981530343007921</v>
      </c>
      <c r="J1116">
        <v>96.701846965699218</v>
      </c>
      <c r="K1116" t="str">
        <f>_xlfn.XLOOKUP(tblProduction[[#This Row],[Product]],tblProducts[Product],tblProducts[Category],"Not Found")</f>
        <v>Assembly</v>
      </c>
      <c r="L1116">
        <f>_xlfn.XLOOKUP(tblProduction[[#This Row],[Product]],tblProducts[Product],tblProducts[Target_Units],"Not Found")</f>
        <v>850</v>
      </c>
    </row>
    <row r="1117" spans="1:12" x14ac:dyDescent="0.3">
      <c r="A1117" s="1">
        <v>46148</v>
      </c>
      <c r="B1117" t="s">
        <v>15</v>
      </c>
      <c r="C1117" t="s">
        <v>12</v>
      </c>
      <c r="D1117" t="s">
        <v>16</v>
      </c>
      <c r="E1117">
        <v>889</v>
      </c>
      <c r="F1117">
        <v>22</v>
      </c>
      <c r="G1117">
        <v>21</v>
      </c>
      <c r="H1117">
        <v>867</v>
      </c>
      <c r="I1117">
        <v>2.474690663667042</v>
      </c>
      <c r="J1117">
        <v>97.525309336332953</v>
      </c>
      <c r="K1117" t="str">
        <f>_xlfn.XLOOKUP(tblProduction[[#This Row],[Product]],tblProducts[Product],tblProducts[Category],"Not Found")</f>
        <v>Standard</v>
      </c>
      <c r="L1117">
        <f>_xlfn.XLOOKUP(tblProduction[[#This Row],[Product]],tblProducts[Product],tblProducts[Target_Units],"Not Found")</f>
        <v>1000</v>
      </c>
    </row>
    <row r="1118" spans="1:12" x14ac:dyDescent="0.3">
      <c r="A1118" s="1">
        <v>46148</v>
      </c>
      <c r="B1118" t="s">
        <v>15</v>
      </c>
      <c r="C1118" t="s">
        <v>13</v>
      </c>
      <c r="D1118" t="s">
        <v>14</v>
      </c>
      <c r="E1118">
        <v>707</v>
      </c>
      <c r="F1118">
        <v>30</v>
      </c>
      <c r="G1118">
        <v>9</v>
      </c>
      <c r="H1118">
        <v>677</v>
      </c>
      <c r="I1118">
        <v>4.2432814710042432</v>
      </c>
      <c r="J1118">
        <v>95.756718528995748</v>
      </c>
      <c r="K1118" t="str">
        <f>_xlfn.XLOOKUP(tblProduction[[#This Row],[Product]],tblProducts[Product],tblProducts[Category],"Not Found")</f>
        <v>Assembly</v>
      </c>
      <c r="L1118">
        <f>_xlfn.XLOOKUP(tblProduction[[#This Row],[Product]],tblProducts[Product],tblProducts[Target_Units],"Not Found")</f>
        <v>850</v>
      </c>
    </row>
    <row r="1119" spans="1:12" x14ac:dyDescent="0.3">
      <c r="A1119" s="1">
        <v>46148</v>
      </c>
      <c r="B1119" t="s">
        <v>17</v>
      </c>
      <c r="C1119" t="s">
        <v>10</v>
      </c>
      <c r="D1119" t="s">
        <v>16</v>
      </c>
      <c r="E1119">
        <v>844</v>
      </c>
      <c r="F1119">
        <v>29</v>
      </c>
      <c r="G1119">
        <v>58</v>
      </c>
      <c r="H1119">
        <v>815</v>
      </c>
      <c r="I1119">
        <v>3.4360189573459721</v>
      </c>
      <c r="J1119">
        <v>96.563981042654021</v>
      </c>
      <c r="K1119" t="str">
        <f>_xlfn.XLOOKUP(tblProduction[[#This Row],[Product]],tblProducts[Product],tblProducts[Category],"Not Found")</f>
        <v>Standard</v>
      </c>
      <c r="L1119">
        <f>_xlfn.XLOOKUP(tblProduction[[#This Row],[Product]],tblProducts[Product],tblProducts[Target_Units],"Not Found")</f>
        <v>1000</v>
      </c>
    </row>
    <row r="1120" spans="1:12" x14ac:dyDescent="0.3">
      <c r="A1120" s="1">
        <v>46148</v>
      </c>
      <c r="B1120" t="s">
        <v>17</v>
      </c>
      <c r="C1120" t="s">
        <v>12</v>
      </c>
      <c r="D1120" t="s">
        <v>18</v>
      </c>
      <c r="E1120">
        <v>723</v>
      </c>
      <c r="F1120">
        <v>25</v>
      </c>
      <c r="G1120">
        <v>43</v>
      </c>
      <c r="H1120">
        <v>698</v>
      </c>
      <c r="I1120">
        <v>3.4578146611341629</v>
      </c>
      <c r="J1120">
        <v>96.542185338865835</v>
      </c>
      <c r="K1120" t="str">
        <f>_xlfn.XLOOKUP(tblProduction[[#This Row],[Product]],tblProducts[Product],tblProducts[Category],"Not Found")</f>
        <v>Assembly</v>
      </c>
      <c r="L1120">
        <f>_xlfn.XLOOKUP(tblProduction[[#This Row],[Product]],tblProducts[Product],tblProducts[Target_Units],"Not Found")</f>
        <v>900</v>
      </c>
    </row>
    <row r="1121" spans="1:12" x14ac:dyDescent="0.3">
      <c r="A1121" s="1">
        <v>46148</v>
      </c>
      <c r="B1121" t="s">
        <v>17</v>
      </c>
      <c r="C1121" t="s">
        <v>13</v>
      </c>
      <c r="D1121" t="s">
        <v>18</v>
      </c>
      <c r="E1121">
        <v>653</v>
      </c>
      <c r="F1121">
        <v>29</v>
      </c>
      <c r="G1121">
        <v>51</v>
      </c>
      <c r="H1121">
        <v>624</v>
      </c>
      <c r="I1121">
        <v>4.4410413476263404</v>
      </c>
      <c r="J1121">
        <v>95.558958652373661</v>
      </c>
      <c r="K1121" t="str">
        <f>_xlfn.XLOOKUP(tblProduction[[#This Row],[Product]],tblProducts[Product],tblProducts[Category],"Not Found")</f>
        <v>Assembly</v>
      </c>
      <c r="L1121">
        <f>_xlfn.XLOOKUP(tblProduction[[#This Row],[Product]],tblProducts[Product],tblProducts[Target_Units],"Not Found")</f>
        <v>900</v>
      </c>
    </row>
    <row r="1122" spans="1:12" x14ac:dyDescent="0.3">
      <c r="A1122" s="1">
        <v>46149</v>
      </c>
      <c r="B1122" t="s">
        <v>9</v>
      </c>
      <c r="C1122" t="s">
        <v>10</v>
      </c>
      <c r="D1122" t="s">
        <v>11</v>
      </c>
      <c r="E1122">
        <v>957</v>
      </c>
      <c r="F1122">
        <v>14</v>
      </c>
      <c r="G1122">
        <v>69</v>
      </c>
      <c r="H1122">
        <v>943</v>
      </c>
      <c r="I1122">
        <v>1.462904911180773</v>
      </c>
      <c r="J1122">
        <v>98.537095088819228</v>
      </c>
      <c r="K1122" t="str">
        <f>_xlfn.XLOOKUP(tblProduction[[#This Row],[Product]],tblProducts[Product],tblProducts[Category],"Not Found")</f>
        <v>Precision</v>
      </c>
      <c r="L1122">
        <f>_xlfn.XLOOKUP(tblProduction[[#This Row],[Product]],tblProducts[Product],tblProducts[Target_Units],"Not Found")</f>
        <v>950</v>
      </c>
    </row>
    <row r="1123" spans="1:12" x14ac:dyDescent="0.3">
      <c r="A1123" s="1">
        <v>46149</v>
      </c>
      <c r="B1123" t="s">
        <v>9</v>
      </c>
      <c r="C1123" t="s">
        <v>12</v>
      </c>
      <c r="D1123" t="s">
        <v>11</v>
      </c>
      <c r="E1123">
        <v>891</v>
      </c>
      <c r="F1123">
        <v>13</v>
      </c>
      <c r="G1123">
        <v>48</v>
      </c>
      <c r="H1123">
        <v>878</v>
      </c>
      <c r="I1123">
        <v>1.4590347923681259</v>
      </c>
      <c r="J1123">
        <v>98.540965207631871</v>
      </c>
      <c r="K1123" t="str">
        <f>_xlfn.XLOOKUP(tblProduction[[#This Row],[Product]],tblProducts[Product],tblProducts[Category],"Not Found")</f>
        <v>Precision</v>
      </c>
      <c r="L1123">
        <f>_xlfn.XLOOKUP(tblProduction[[#This Row],[Product]],tblProducts[Product],tblProducts[Target_Units],"Not Found")</f>
        <v>950</v>
      </c>
    </row>
    <row r="1124" spans="1:12" x14ac:dyDescent="0.3">
      <c r="A1124" s="1">
        <v>46149</v>
      </c>
      <c r="B1124" t="s">
        <v>15</v>
      </c>
      <c r="C1124" t="s">
        <v>10</v>
      </c>
      <c r="D1124" t="s">
        <v>14</v>
      </c>
      <c r="E1124">
        <v>775</v>
      </c>
      <c r="F1124">
        <v>25</v>
      </c>
      <c r="G1124">
        <v>63</v>
      </c>
      <c r="H1124">
        <v>750</v>
      </c>
      <c r="I1124">
        <v>3.225806451612903</v>
      </c>
      <c r="J1124">
        <v>96.774193548387103</v>
      </c>
      <c r="K1124" t="str">
        <f>_xlfn.XLOOKUP(tblProduction[[#This Row],[Product]],tblProducts[Product],tblProducts[Category],"Not Found")</f>
        <v>Assembly</v>
      </c>
      <c r="L1124">
        <f>_xlfn.XLOOKUP(tblProduction[[#This Row],[Product]],tblProducts[Product],tblProducts[Target_Units],"Not Found")</f>
        <v>850</v>
      </c>
    </row>
    <row r="1125" spans="1:12" x14ac:dyDescent="0.3">
      <c r="A1125" s="1">
        <v>46149</v>
      </c>
      <c r="B1125" t="s">
        <v>15</v>
      </c>
      <c r="C1125" t="s">
        <v>12</v>
      </c>
      <c r="D1125" t="s">
        <v>18</v>
      </c>
      <c r="E1125">
        <v>801</v>
      </c>
      <c r="F1125">
        <v>20</v>
      </c>
      <c r="G1125">
        <v>43</v>
      </c>
      <c r="H1125">
        <v>781</v>
      </c>
      <c r="I1125">
        <v>2.4968789013732828</v>
      </c>
      <c r="J1125">
        <v>97.503121098626721</v>
      </c>
      <c r="K1125" t="str">
        <f>_xlfn.XLOOKUP(tblProduction[[#This Row],[Product]],tblProducts[Product],tblProducts[Category],"Not Found")</f>
        <v>Assembly</v>
      </c>
      <c r="L1125">
        <f>_xlfn.XLOOKUP(tblProduction[[#This Row],[Product]],tblProducts[Product],tblProducts[Target_Units],"Not Found")</f>
        <v>900</v>
      </c>
    </row>
    <row r="1126" spans="1:12" x14ac:dyDescent="0.3">
      <c r="A1126" s="1">
        <v>46149</v>
      </c>
      <c r="B1126" t="s">
        <v>15</v>
      </c>
      <c r="C1126" t="s">
        <v>13</v>
      </c>
      <c r="D1126" t="s">
        <v>14</v>
      </c>
      <c r="E1126">
        <v>660</v>
      </c>
      <c r="F1126">
        <v>28</v>
      </c>
      <c r="G1126">
        <v>72</v>
      </c>
      <c r="H1126">
        <v>632</v>
      </c>
      <c r="I1126">
        <v>4.2424242424242431</v>
      </c>
      <c r="J1126">
        <v>95.757575757575751</v>
      </c>
      <c r="K1126" t="str">
        <f>_xlfn.XLOOKUP(tblProduction[[#This Row],[Product]],tblProducts[Product],tblProducts[Category],"Not Found")</f>
        <v>Assembly</v>
      </c>
      <c r="L1126">
        <f>_xlfn.XLOOKUP(tblProduction[[#This Row],[Product]],tblProducts[Product],tblProducts[Target_Units],"Not Found")</f>
        <v>850</v>
      </c>
    </row>
    <row r="1127" spans="1:12" x14ac:dyDescent="0.3">
      <c r="A1127" s="1">
        <v>46149</v>
      </c>
      <c r="B1127" t="s">
        <v>17</v>
      </c>
      <c r="C1127" t="s">
        <v>10</v>
      </c>
      <c r="D1127" t="s">
        <v>18</v>
      </c>
      <c r="E1127">
        <v>736</v>
      </c>
      <c r="F1127">
        <v>25</v>
      </c>
      <c r="G1127">
        <v>26</v>
      </c>
      <c r="H1127">
        <v>711</v>
      </c>
      <c r="I1127">
        <v>3.3967391304347818</v>
      </c>
      <c r="J1127">
        <v>96.603260869565219</v>
      </c>
      <c r="K1127" t="str">
        <f>_xlfn.XLOOKUP(tblProduction[[#This Row],[Product]],tblProducts[Product],tblProducts[Category],"Not Found")</f>
        <v>Assembly</v>
      </c>
      <c r="L1127">
        <f>_xlfn.XLOOKUP(tblProduction[[#This Row],[Product]],tblProducts[Product],tblProducts[Target_Units],"Not Found")</f>
        <v>900</v>
      </c>
    </row>
    <row r="1128" spans="1:12" x14ac:dyDescent="0.3">
      <c r="A1128" s="1">
        <v>46149</v>
      </c>
      <c r="B1128" t="s">
        <v>17</v>
      </c>
      <c r="C1128" t="s">
        <v>12</v>
      </c>
      <c r="D1128" t="s">
        <v>16</v>
      </c>
      <c r="E1128">
        <v>752</v>
      </c>
      <c r="F1128">
        <v>26</v>
      </c>
      <c r="G1128">
        <v>69</v>
      </c>
      <c r="H1128">
        <v>726</v>
      </c>
      <c r="I1128">
        <v>3.457446808510638</v>
      </c>
      <c r="J1128">
        <v>96.542553191489361</v>
      </c>
      <c r="K1128" t="str">
        <f>_xlfn.XLOOKUP(tblProduction[[#This Row],[Product]],tblProducts[Product],tblProducts[Category],"Not Found")</f>
        <v>Standard</v>
      </c>
      <c r="L1128">
        <f>_xlfn.XLOOKUP(tblProduction[[#This Row],[Product]],tblProducts[Product],tblProducts[Target_Units],"Not Found")</f>
        <v>1000</v>
      </c>
    </row>
    <row r="1129" spans="1:12" x14ac:dyDescent="0.3">
      <c r="A1129" s="1">
        <v>46149</v>
      </c>
      <c r="B1129" t="s">
        <v>17</v>
      </c>
      <c r="C1129" t="s">
        <v>13</v>
      </c>
      <c r="D1129" t="s">
        <v>14</v>
      </c>
      <c r="E1129">
        <v>659</v>
      </c>
      <c r="F1129">
        <v>34</v>
      </c>
      <c r="G1129">
        <v>12</v>
      </c>
      <c r="H1129">
        <v>625</v>
      </c>
      <c r="I1129">
        <v>5.1593323216995444</v>
      </c>
      <c r="J1129">
        <v>94.840667678300449</v>
      </c>
      <c r="K1129" t="str">
        <f>_xlfn.XLOOKUP(tblProduction[[#This Row],[Product]],tblProducts[Product],tblProducts[Category],"Not Found")</f>
        <v>Assembly</v>
      </c>
      <c r="L1129">
        <f>_xlfn.XLOOKUP(tblProduction[[#This Row],[Product]],tblProducts[Product],tblProducts[Target_Units],"Not Found")</f>
        <v>850</v>
      </c>
    </row>
    <row r="1130" spans="1:12" x14ac:dyDescent="0.3">
      <c r="A1130" s="1">
        <v>46150</v>
      </c>
      <c r="B1130" t="s">
        <v>9</v>
      </c>
      <c r="C1130" t="s">
        <v>10</v>
      </c>
      <c r="D1130" t="s">
        <v>16</v>
      </c>
      <c r="E1130">
        <v>1009</v>
      </c>
      <c r="F1130">
        <v>15</v>
      </c>
      <c r="G1130">
        <v>41</v>
      </c>
      <c r="H1130">
        <v>994</v>
      </c>
      <c r="I1130">
        <v>1.486620416253716</v>
      </c>
      <c r="J1130">
        <v>98.513379583746286</v>
      </c>
      <c r="K1130" t="str">
        <f>_xlfn.XLOOKUP(tblProduction[[#This Row],[Product]],tblProducts[Product],tblProducts[Category],"Not Found")</f>
        <v>Standard</v>
      </c>
      <c r="L1130">
        <f>_xlfn.XLOOKUP(tblProduction[[#This Row],[Product]],tblProducts[Product],tblProducts[Target_Units],"Not Found")</f>
        <v>1000</v>
      </c>
    </row>
    <row r="1131" spans="1:12" x14ac:dyDescent="0.3">
      <c r="A1131" s="1">
        <v>46150</v>
      </c>
      <c r="B1131" t="s">
        <v>9</v>
      </c>
      <c r="C1131" t="s">
        <v>12</v>
      </c>
      <c r="D1131" t="s">
        <v>18</v>
      </c>
      <c r="E1131">
        <v>889</v>
      </c>
      <c r="F1131">
        <v>13</v>
      </c>
      <c r="G1131">
        <v>24</v>
      </c>
      <c r="H1131">
        <v>876</v>
      </c>
      <c r="I1131">
        <v>1.462317210348707</v>
      </c>
      <c r="J1131">
        <v>98.537682789651299</v>
      </c>
      <c r="K1131" t="str">
        <f>_xlfn.XLOOKUP(tblProduction[[#This Row],[Product]],tblProducts[Product],tblProducts[Category],"Not Found")</f>
        <v>Assembly</v>
      </c>
      <c r="L1131">
        <f>_xlfn.XLOOKUP(tblProduction[[#This Row],[Product]],tblProducts[Product],tblProducts[Target_Units],"Not Found")</f>
        <v>900</v>
      </c>
    </row>
    <row r="1132" spans="1:12" x14ac:dyDescent="0.3">
      <c r="A1132" s="1">
        <v>46150</v>
      </c>
      <c r="B1132" t="s">
        <v>9</v>
      </c>
      <c r="C1132" t="s">
        <v>13</v>
      </c>
      <c r="D1132" t="s">
        <v>16</v>
      </c>
      <c r="E1132">
        <v>827</v>
      </c>
      <c r="F1132">
        <v>20</v>
      </c>
      <c r="G1132">
        <v>85</v>
      </c>
      <c r="H1132">
        <v>807</v>
      </c>
      <c r="I1132">
        <v>2.418379685610641</v>
      </c>
      <c r="J1132">
        <v>97.581620314389355</v>
      </c>
      <c r="K1132" t="str">
        <f>_xlfn.XLOOKUP(tblProduction[[#This Row],[Product]],tblProducts[Product],tblProducts[Category],"Not Found")</f>
        <v>Standard</v>
      </c>
      <c r="L1132">
        <f>_xlfn.XLOOKUP(tblProduction[[#This Row],[Product]],tblProducts[Product],tblProducts[Target_Units],"Not Found")</f>
        <v>1000</v>
      </c>
    </row>
    <row r="1133" spans="1:12" x14ac:dyDescent="0.3">
      <c r="A1133" s="1">
        <v>46150</v>
      </c>
      <c r="B1133" t="s">
        <v>15</v>
      </c>
      <c r="C1133" t="s">
        <v>10</v>
      </c>
      <c r="D1133" t="s">
        <v>18</v>
      </c>
      <c r="E1133">
        <v>825</v>
      </c>
      <c r="F1133">
        <v>20</v>
      </c>
      <c r="G1133">
        <v>40</v>
      </c>
      <c r="H1133">
        <v>805</v>
      </c>
      <c r="I1133">
        <v>2.4242424242424239</v>
      </c>
      <c r="J1133">
        <v>97.575757575757578</v>
      </c>
      <c r="K1133" t="str">
        <f>_xlfn.XLOOKUP(tblProduction[[#This Row],[Product]],tblProducts[Product],tblProducts[Category],"Not Found")</f>
        <v>Assembly</v>
      </c>
      <c r="L1133">
        <f>_xlfn.XLOOKUP(tblProduction[[#This Row],[Product]],tblProducts[Product],tblProducts[Target_Units],"Not Found")</f>
        <v>900</v>
      </c>
    </row>
    <row r="1134" spans="1:12" x14ac:dyDescent="0.3">
      <c r="A1134" s="1">
        <v>46150</v>
      </c>
      <c r="B1134" t="s">
        <v>15</v>
      </c>
      <c r="C1134" t="s">
        <v>12</v>
      </c>
      <c r="D1134" t="s">
        <v>18</v>
      </c>
      <c r="E1134">
        <v>755</v>
      </c>
      <c r="F1134">
        <v>18</v>
      </c>
      <c r="G1134">
        <v>49</v>
      </c>
      <c r="H1134">
        <v>737</v>
      </c>
      <c r="I1134">
        <v>2.3841059602649008</v>
      </c>
      <c r="J1134">
        <v>97.615894039735096</v>
      </c>
      <c r="K1134" t="str">
        <f>_xlfn.XLOOKUP(tblProduction[[#This Row],[Product]],tblProducts[Product],tblProducts[Category],"Not Found")</f>
        <v>Assembly</v>
      </c>
      <c r="L1134">
        <f>_xlfn.XLOOKUP(tblProduction[[#This Row],[Product]],tblProducts[Product],tblProducts[Target_Units],"Not Found")</f>
        <v>900</v>
      </c>
    </row>
    <row r="1135" spans="1:12" x14ac:dyDescent="0.3">
      <c r="A1135" s="1">
        <v>46150</v>
      </c>
      <c r="B1135" t="s">
        <v>15</v>
      </c>
      <c r="C1135" t="s">
        <v>13</v>
      </c>
      <c r="D1135" t="s">
        <v>14</v>
      </c>
      <c r="E1135">
        <v>637</v>
      </c>
      <c r="F1135">
        <v>27</v>
      </c>
      <c r="G1135">
        <v>87</v>
      </c>
      <c r="H1135">
        <v>610</v>
      </c>
      <c r="I1135">
        <v>4.2386185243328098</v>
      </c>
      <c r="J1135">
        <v>95.761381475667193</v>
      </c>
      <c r="K1135" t="str">
        <f>_xlfn.XLOOKUP(tblProduction[[#This Row],[Product]],tblProducts[Product],tblProducts[Category],"Not Found")</f>
        <v>Assembly</v>
      </c>
      <c r="L1135">
        <f>_xlfn.XLOOKUP(tblProduction[[#This Row],[Product]],tblProducts[Product],tblProducts[Target_Units],"Not Found")</f>
        <v>850</v>
      </c>
    </row>
    <row r="1136" spans="1:12" x14ac:dyDescent="0.3">
      <c r="A1136" s="1">
        <v>46150</v>
      </c>
      <c r="B1136" t="s">
        <v>17</v>
      </c>
      <c r="C1136" t="s">
        <v>10</v>
      </c>
      <c r="D1136" t="s">
        <v>11</v>
      </c>
      <c r="E1136">
        <v>740</v>
      </c>
      <c r="F1136">
        <v>25</v>
      </c>
      <c r="G1136">
        <v>75</v>
      </c>
      <c r="H1136">
        <v>715</v>
      </c>
      <c r="I1136">
        <v>3.378378378378379</v>
      </c>
      <c r="J1136">
        <v>96.621621621621628</v>
      </c>
      <c r="K1136" t="str">
        <f>_xlfn.XLOOKUP(tblProduction[[#This Row],[Product]],tblProducts[Product],tblProducts[Category],"Not Found")</f>
        <v>Precision</v>
      </c>
      <c r="L1136">
        <f>_xlfn.XLOOKUP(tblProduction[[#This Row],[Product]],tblProducts[Product],tblProducts[Target_Units],"Not Found")</f>
        <v>950</v>
      </c>
    </row>
    <row r="1137" spans="1:12" x14ac:dyDescent="0.3">
      <c r="A1137" s="1">
        <v>46150</v>
      </c>
      <c r="B1137" t="s">
        <v>17</v>
      </c>
      <c r="C1137" t="s">
        <v>12</v>
      </c>
      <c r="D1137" t="s">
        <v>14</v>
      </c>
      <c r="E1137">
        <v>662</v>
      </c>
      <c r="F1137">
        <v>28</v>
      </c>
      <c r="G1137">
        <v>33</v>
      </c>
      <c r="H1137">
        <v>634</v>
      </c>
      <c r="I1137">
        <v>4.2296072507552873</v>
      </c>
      <c r="J1137">
        <v>95.770392749244721</v>
      </c>
      <c r="K1137" t="str">
        <f>_xlfn.XLOOKUP(tblProduction[[#This Row],[Product]],tblProducts[Product],tblProducts[Category],"Not Found")</f>
        <v>Assembly</v>
      </c>
      <c r="L1137">
        <f>_xlfn.XLOOKUP(tblProduction[[#This Row],[Product]],tblProducts[Product],tblProducts[Target_Units],"Not Found")</f>
        <v>850</v>
      </c>
    </row>
    <row r="1138" spans="1:12" x14ac:dyDescent="0.3">
      <c r="A1138" s="1">
        <v>46150</v>
      </c>
      <c r="B1138" t="s">
        <v>17</v>
      </c>
      <c r="C1138" t="s">
        <v>13</v>
      </c>
      <c r="D1138" t="s">
        <v>11</v>
      </c>
      <c r="E1138">
        <v>708</v>
      </c>
      <c r="F1138">
        <v>31</v>
      </c>
      <c r="G1138">
        <v>32</v>
      </c>
      <c r="H1138">
        <v>677</v>
      </c>
      <c r="I1138">
        <v>4.3785310734463279</v>
      </c>
      <c r="J1138">
        <v>95.621468926553675</v>
      </c>
      <c r="K1138" t="str">
        <f>_xlfn.XLOOKUP(tblProduction[[#This Row],[Product]],tblProducts[Product],tblProducts[Category],"Not Found")</f>
        <v>Precision</v>
      </c>
      <c r="L1138">
        <f>_xlfn.XLOOKUP(tblProduction[[#This Row],[Product]],tblProducts[Product],tblProducts[Target_Units],"Not Found")</f>
        <v>950</v>
      </c>
    </row>
    <row r="1139" spans="1:12" x14ac:dyDescent="0.3">
      <c r="A1139" s="1">
        <v>46151</v>
      </c>
      <c r="B1139" t="s">
        <v>9</v>
      </c>
      <c r="C1139" t="s">
        <v>10</v>
      </c>
      <c r="D1139" t="s">
        <v>14</v>
      </c>
      <c r="E1139">
        <v>828</v>
      </c>
      <c r="F1139">
        <v>19</v>
      </c>
      <c r="G1139">
        <v>51</v>
      </c>
      <c r="H1139">
        <v>809</v>
      </c>
      <c r="I1139">
        <v>2.2946859903381638</v>
      </c>
      <c r="J1139">
        <v>97.705314009661834</v>
      </c>
      <c r="K1139" t="str">
        <f>_xlfn.XLOOKUP(tblProduction[[#This Row],[Product]],tblProducts[Product],tblProducts[Category],"Not Found")</f>
        <v>Assembly</v>
      </c>
      <c r="L1139">
        <f>_xlfn.XLOOKUP(tblProduction[[#This Row],[Product]],tblProducts[Product],tblProducts[Target_Units],"Not Found")</f>
        <v>850</v>
      </c>
    </row>
    <row r="1140" spans="1:12" x14ac:dyDescent="0.3">
      <c r="A1140" s="1">
        <v>46151</v>
      </c>
      <c r="B1140" t="s">
        <v>9</v>
      </c>
      <c r="C1140" t="s">
        <v>12</v>
      </c>
      <c r="D1140" t="s">
        <v>18</v>
      </c>
      <c r="E1140">
        <v>966</v>
      </c>
      <c r="F1140">
        <v>14</v>
      </c>
      <c r="G1140">
        <v>5</v>
      </c>
      <c r="H1140">
        <v>952</v>
      </c>
      <c r="I1140">
        <v>1.449275362318841</v>
      </c>
      <c r="J1140">
        <v>98.550724637681171</v>
      </c>
      <c r="K1140" t="str">
        <f>_xlfn.XLOOKUP(tblProduction[[#This Row],[Product]],tblProducts[Product],tblProducts[Category],"Not Found")</f>
        <v>Assembly</v>
      </c>
      <c r="L1140">
        <f>_xlfn.XLOOKUP(tblProduction[[#This Row],[Product]],tblProducts[Product],tblProducts[Target_Units],"Not Found")</f>
        <v>900</v>
      </c>
    </row>
    <row r="1141" spans="1:12" x14ac:dyDescent="0.3">
      <c r="A1141" s="1">
        <v>46151</v>
      </c>
      <c r="B1141" t="s">
        <v>9</v>
      </c>
      <c r="C1141" t="s">
        <v>13</v>
      </c>
      <c r="D1141" t="s">
        <v>16</v>
      </c>
      <c r="E1141">
        <v>885</v>
      </c>
      <c r="F1141">
        <v>22</v>
      </c>
      <c r="G1141">
        <v>54</v>
      </c>
      <c r="H1141">
        <v>863</v>
      </c>
      <c r="I1141">
        <v>2.485875706214689</v>
      </c>
      <c r="J1141">
        <v>97.514124293785315</v>
      </c>
      <c r="K1141" t="str">
        <f>_xlfn.XLOOKUP(tblProduction[[#This Row],[Product]],tblProducts[Product],tblProducts[Category],"Not Found")</f>
        <v>Standard</v>
      </c>
      <c r="L1141">
        <f>_xlfn.XLOOKUP(tblProduction[[#This Row],[Product]],tblProducts[Product],tblProducts[Target_Units],"Not Found")</f>
        <v>1000</v>
      </c>
    </row>
    <row r="1142" spans="1:12" x14ac:dyDescent="0.3">
      <c r="A1142" s="1">
        <v>46151</v>
      </c>
      <c r="B1142" t="s">
        <v>15</v>
      </c>
      <c r="C1142" t="s">
        <v>10</v>
      </c>
      <c r="D1142" t="s">
        <v>18</v>
      </c>
      <c r="E1142">
        <v>846</v>
      </c>
      <c r="F1142">
        <v>21</v>
      </c>
      <c r="G1142">
        <v>62</v>
      </c>
      <c r="H1142">
        <v>825</v>
      </c>
      <c r="I1142">
        <v>2.4822695035461</v>
      </c>
      <c r="J1142">
        <v>97.517730496453908</v>
      </c>
      <c r="K1142" t="str">
        <f>_xlfn.XLOOKUP(tblProduction[[#This Row],[Product]],tblProducts[Product],tblProducts[Category],"Not Found")</f>
        <v>Assembly</v>
      </c>
      <c r="L1142">
        <f>_xlfn.XLOOKUP(tblProduction[[#This Row],[Product]],tblProducts[Product],tblProducts[Target_Units],"Not Found")</f>
        <v>900</v>
      </c>
    </row>
    <row r="1143" spans="1:12" x14ac:dyDescent="0.3">
      <c r="A1143" s="1">
        <v>46151</v>
      </c>
      <c r="B1143" t="s">
        <v>15</v>
      </c>
      <c r="C1143" t="s">
        <v>12</v>
      </c>
      <c r="D1143" t="s">
        <v>14</v>
      </c>
      <c r="E1143">
        <v>743</v>
      </c>
      <c r="F1143">
        <v>24</v>
      </c>
      <c r="G1143">
        <v>28</v>
      </c>
      <c r="H1143">
        <v>719</v>
      </c>
      <c r="I1143">
        <v>3.2301480484522211</v>
      </c>
      <c r="J1143">
        <v>96.769851951547778</v>
      </c>
      <c r="K1143" t="str">
        <f>_xlfn.XLOOKUP(tblProduction[[#This Row],[Product]],tblProducts[Product],tblProducts[Category],"Not Found")</f>
        <v>Assembly</v>
      </c>
      <c r="L1143">
        <f>_xlfn.XLOOKUP(tblProduction[[#This Row],[Product]],tblProducts[Product],tblProducts[Target_Units],"Not Found")</f>
        <v>850</v>
      </c>
    </row>
    <row r="1144" spans="1:12" x14ac:dyDescent="0.3">
      <c r="A1144" s="1">
        <v>46151</v>
      </c>
      <c r="B1144" t="s">
        <v>15</v>
      </c>
      <c r="C1144" t="s">
        <v>13</v>
      </c>
      <c r="D1144" t="s">
        <v>11</v>
      </c>
      <c r="E1144">
        <v>729</v>
      </c>
      <c r="F1144">
        <v>25</v>
      </c>
      <c r="G1144">
        <v>88</v>
      </c>
      <c r="H1144">
        <v>704</v>
      </c>
      <c r="I1144">
        <v>3.4293552812071328</v>
      </c>
      <c r="J1144">
        <v>96.570644718792863</v>
      </c>
      <c r="K1144" t="str">
        <f>_xlfn.XLOOKUP(tblProduction[[#This Row],[Product]],tblProducts[Product],tblProducts[Category],"Not Found")</f>
        <v>Precision</v>
      </c>
      <c r="L1144">
        <f>_xlfn.XLOOKUP(tblProduction[[#This Row],[Product]],tblProducts[Product],tblProducts[Target_Units],"Not Found")</f>
        <v>950</v>
      </c>
    </row>
    <row r="1145" spans="1:12" x14ac:dyDescent="0.3">
      <c r="A1145" s="1">
        <v>46151</v>
      </c>
      <c r="B1145" t="s">
        <v>17</v>
      </c>
      <c r="C1145" t="s">
        <v>10</v>
      </c>
      <c r="D1145" t="s">
        <v>16</v>
      </c>
      <c r="E1145">
        <v>847</v>
      </c>
      <c r="F1145">
        <v>29</v>
      </c>
      <c r="G1145">
        <v>27</v>
      </c>
      <c r="H1145">
        <v>818</v>
      </c>
      <c r="I1145">
        <v>3.4238488783943328</v>
      </c>
      <c r="J1145">
        <v>96.576151121605676</v>
      </c>
      <c r="K1145" t="str">
        <f>_xlfn.XLOOKUP(tblProduction[[#This Row],[Product]],tblProducts[Product],tblProducts[Category],"Not Found")</f>
        <v>Standard</v>
      </c>
      <c r="L1145">
        <f>_xlfn.XLOOKUP(tblProduction[[#This Row],[Product]],tblProducts[Product],tblProducts[Target_Units],"Not Found")</f>
        <v>1000</v>
      </c>
    </row>
    <row r="1146" spans="1:12" x14ac:dyDescent="0.3">
      <c r="A1146" s="1">
        <v>46151</v>
      </c>
      <c r="B1146" t="s">
        <v>17</v>
      </c>
      <c r="C1146" t="s">
        <v>12</v>
      </c>
      <c r="D1146" t="s">
        <v>18</v>
      </c>
      <c r="E1146">
        <v>699</v>
      </c>
      <c r="F1146">
        <v>24</v>
      </c>
      <c r="G1146">
        <v>80</v>
      </c>
      <c r="H1146">
        <v>675</v>
      </c>
      <c r="I1146">
        <v>3.433476394849786</v>
      </c>
      <c r="J1146">
        <v>96.566523605150209</v>
      </c>
      <c r="K1146" t="str">
        <f>_xlfn.XLOOKUP(tblProduction[[#This Row],[Product]],tblProducts[Product],tblProducts[Category],"Not Found")</f>
        <v>Assembly</v>
      </c>
      <c r="L1146">
        <f>_xlfn.XLOOKUP(tblProduction[[#This Row],[Product]],tblProducts[Product],tblProducts[Target_Units],"Not Found")</f>
        <v>900</v>
      </c>
    </row>
    <row r="1147" spans="1:12" x14ac:dyDescent="0.3">
      <c r="A1147" s="1">
        <v>46151</v>
      </c>
      <c r="B1147" t="s">
        <v>17</v>
      </c>
      <c r="C1147" t="s">
        <v>13</v>
      </c>
      <c r="D1147" t="s">
        <v>18</v>
      </c>
      <c r="E1147">
        <v>626</v>
      </c>
      <c r="F1147">
        <v>28</v>
      </c>
      <c r="G1147">
        <v>87</v>
      </c>
      <c r="H1147">
        <v>598</v>
      </c>
      <c r="I1147">
        <v>4.4728434504792327</v>
      </c>
      <c r="J1147">
        <v>95.527156549520768</v>
      </c>
      <c r="K1147" t="str">
        <f>_xlfn.XLOOKUP(tblProduction[[#This Row],[Product]],tblProducts[Product],tblProducts[Category],"Not Found")</f>
        <v>Assembly</v>
      </c>
      <c r="L1147">
        <f>_xlfn.XLOOKUP(tblProduction[[#This Row],[Product]],tblProducts[Product],tblProducts[Target_Units],"Not Found")</f>
        <v>900</v>
      </c>
    </row>
    <row r="1148" spans="1:12" x14ac:dyDescent="0.3">
      <c r="A1148" s="1">
        <v>46152</v>
      </c>
      <c r="B1148" t="s">
        <v>9</v>
      </c>
      <c r="C1148" t="s">
        <v>10</v>
      </c>
      <c r="D1148" t="s">
        <v>11</v>
      </c>
      <c r="E1148">
        <v>981</v>
      </c>
      <c r="F1148">
        <v>14</v>
      </c>
      <c r="G1148">
        <v>57</v>
      </c>
      <c r="H1148">
        <v>967</v>
      </c>
      <c r="I1148">
        <v>1.427115188583078</v>
      </c>
      <c r="J1148">
        <v>98.572884811416912</v>
      </c>
      <c r="K1148" t="str">
        <f>_xlfn.XLOOKUP(tblProduction[[#This Row],[Product]],tblProducts[Product],tblProducts[Category],"Not Found")</f>
        <v>Precision</v>
      </c>
      <c r="L1148">
        <f>_xlfn.XLOOKUP(tblProduction[[#This Row],[Product]],tblProducts[Product],tblProducts[Target_Units],"Not Found")</f>
        <v>950</v>
      </c>
    </row>
    <row r="1149" spans="1:12" x14ac:dyDescent="0.3">
      <c r="A1149" s="1">
        <v>46152</v>
      </c>
      <c r="B1149" t="s">
        <v>9</v>
      </c>
      <c r="C1149" t="s">
        <v>12</v>
      </c>
      <c r="D1149" t="s">
        <v>14</v>
      </c>
      <c r="E1149">
        <v>788</v>
      </c>
      <c r="F1149">
        <v>18</v>
      </c>
      <c r="G1149">
        <v>70</v>
      </c>
      <c r="H1149">
        <v>770</v>
      </c>
      <c r="I1149">
        <v>2.2842639593908629</v>
      </c>
      <c r="J1149">
        <v>97.71573604060913</v>
      </c>
      <c r="K1149" t="str">
        <f>_xlfn.XLOOKUP(tblProduction[[#This Row],[Product]],tblProducts[Product],tblProducts[Category],"Not Found")</f>
        <v>Assembly</v>
      </c>
      <c r="L1149">
        <f>_xlfn.XLOOKUP(tblProduction[[#This Row],[Product]],tblProducts[Product],tblProducts[Target_Units],"Not Found")</f>
        <v>850</v>
      </c>
    </row>
    <row r="1150" spans="1:12" x14ac:dyDescent="0.3">
      <c r="A1150" s="1">
        <v>46152</v>
      </c>
      <c r="B1150" t="s">
        <v>9</v>
      </c>
      <c r="C1150" t="s">
        <v>13</v>
      </c>
      <c r="D1150" t="s">
        <v>16</v>
      </c>
      <c r="E1150">
        <v>931</v>
      </c>
      <c r="F1150">
        <v>23</v>
      </c>
      <c r="G1150">
        <v>41</v>
      </c>
      <c r="H1150">
        <v>908</v>
      </c>
      <c r="I1150">
        <v>2.4704618689581088</v>
      </c>
      <c r="J1150">
        <v>97.529538131041889</v>
      </c>
      <c r="K1150" t="str">
        <f>_xlfn.XLOOKUP(tblProduction[[#This Row],[Product]],tblProducts[Product],tblProducts[Category],"Not Found")</f>
        <v>Standard</v>
      </c>
      <c r="L1150">
        <f>_xlfn.XLOOKUP(tblProduction[[#This Row],[Product]],tblProducts[Product],tblProducts[Target_Units],"Not Found")</f>
        <v>1000</v>
      </c>
    </row>
    <row r="1151" spans="1:12" x14ac:dyDescent="0.3">
      <c r="A1151" s="1">
        <v>46152</v>
      </c>
      <c r="B1151" t="s">
        <v>15</v>
      </c>
      <c r="C1151" t="s">
        <v>10</v>
      </c>
      <c r="D1151" t="s">
        <v>14</v>
      </c>
      <c r="E1151">
        <v>851</v>
      </c>
      <c r="F1151">
        <v>28</v>
      </c>
      <c r="G1151">
        <v>9</v>
      </c>
      <c r="H1151">
        <v>823</v>
      </c>
      <c r="I1151">
        <v>3.2902467685076382</v>
      </c>
      <c r="J1151">
        <v>96.709753231492357</v>
      </c>
      <c r="K1151" t="str">
        <f>_xlfn.XLOOKUP(tblProduction[[#This Row],[Product]],tblProducts[Product],tblProducts[Category],"Not Found")</f>
        <v>Assembly</v>
      </c>
      <c r="L1151">
        <f>_xlfn.XLOOKUP(tblProduction[[#This Row],[Product]],tblProducts[Product],tblProducts[Target_Units],"Not Found")</f>
        <v>850</v>
      </c>
    </row>
    <row r="1152" spans="1:12" x14ac:dyDescent="0.3">
      <c r="A1152" s="1">
        <v>46152</v>
      </c>
      <c r="B1152" t="s">
        <v>15</v>
      </c>
      <c r="C1152" t="s">
        <v>12</v>
      </c>
      <c r="D1152" t="s">
        <v>11</v>
      </c>
      <c r="E1152">
        <v>813</v>
      </c>
      <c r="F1152">
        <v>20</v>
      </c>
      <c r="G1152">
        <v>59</v>
      </c>
      <c r="H1152">
        <v>793</v>
      </c>
      <c r="I1152">
        <v>2.460024600246002</v>
      </c>
      <c r="J1152">
        <v>97.539975399753999</v>
      </c>
      <c r="K1152" t="str">
        <f>_xlfn.XLOOKUP(tblProduction[[#This Row],[Product]],tblProducts[Product],tblProducts[Category],"Not Found")</f>
        <v>Precision</v>
      </c>
      <c r="L1152">
        <f>_xlfn.XLOOKUP(tblProduction[[#This Row],[Product]],tblProducts[Product],tblProducts[Target_Units],"Not Found")</f>
        <v>950</v>
      </c>
    </row>
    <row r="1153" spans="1:12" x14ac:dyDescent="0.3">
      <c r="A1153" s="1">
        <v>46152</v>
      </c>
      <c r="B1153" t="s">
        <v>15</v>
      </c>
      <c r="C1153" t="s">
        <v>13</v>
      </c>
      <c r="D1153" t="s">
        <v>11</v>
      </c>
      <c r="E1153">
        <v>741</v>
      </c>
      <c r="F1153">
        <v>25</v>
      </c>
      <c r="G1153">
        <v>87</v>
      </c>
      <c r="H1153">
        <v>716</v>
      </c>
      <c r="I1153">
        <v>3.3738191632928469</v>
      </c>
      <c r="J1153">
        <v>96.62618083670715</v>
      </c>
      <c r="K1153" t="str">
        <f>_xlfn.XLOOKUP(tblProduction[[#This Row],[Product]],tblProducts[Product],tblProducts[Category],"Not Found")</f>
        <v>Precision</v>
      </c>
      <c r="L1153">
        <f>_xlfn.XLOOKUP(tblProduction[[#This Row],[Product]],tblProducts[Product],tblProducts[Target_Units],"Not Found")</f>
        <v>950</v>
      </c>
    </row>
    <row r="1154" spans="1:12" x14ac:dyDescent="0.3">
      <c r="A1154" s="1">
        <v>46152</v>
      </c>
      <c r="B1154" t="s">
        <v>17</v>
      </c>
      <c r="C1154" t="s">
        <v>10</v>
      </c>
      <c r="D1154" t="s">
        <v>14</v>
      </c>
      <c r="E1154">
        <v>737</v>
      </c>
      <c r="F1154">
        <v>31</v>
      </c>
      <c r="G1154">
        <v>32</v>
      </c>
      <c r="H1154">
        <v>706</v>
      </c>
      <c r="I1154">
        <v>4.2062415196743546</v>
      </c>
      <c r="J1154">
        <v>95.793758480325636</v>
      </c>
      <c r="K1154" t="str">
        <f>_xlfn.XLOOKUP(tblProduction[[#This Row],[Product]],tblProducts[Product],tblProducts[Category],"Not Found")</f>
        <v>Assembly</v>
      </c>
      <c r="L1154">
        <f>_xlfn.XLOOKUP(tblProduction[[#This Row],[Product]],tblProducts[Product],tblProducts[Target_Units],"Not Found")</f>
        <v>850</v>
      </c>
    </row>
    <row r="1155" spans="1:12" x14ac:dyDescent="0.3">
      <c r="A1155" s="1">
        <v>46152</v>
      </c>
      <c r="B1155" t="s">
        <v>17</v>
      </c>
      <c r="C1155" t="s">
        <v>12</v>
      </c>
      <c r="D1155" t="s">
        <v>18</v>
      </c>
      <c r="E1155">
        <v>777</v>
      </c>
      <c r="F1155">
        <v>27</v>
      </c>
      <c r="G1155">
        <v>14</v>
      </c>
      <c r="H1155">
        <v>750</v>
      </c>
      <c r="I1155">
        <v>3.4749034749034751</v>
      </c>
      <c r="J1155">
        <v>96.525096525096515</v>
      </c>
      <c r="K1155" t="str">
        <f>_xlfn.XLOOKUP(tblProduction[[#This Row],[Product]],tblProducts[Product],tblProducts[Category],"Not Found")</f>
        <v>Assembly</v>
      </c>
      <c r="L1155">
        <f>_xlfn.XLOOKUP(tblProduction[[#This Row],[Product]],tblProducts[Product],tblProducts[Target_Units],"Not Found")</f>
        <v>900</v>
      </c>
    </row>
    <row r="1156" spans="1:12" x14ac:dyDescent="0.3">
      <c r="A1156" s="1">
        <v>46152</v>
      </c>
      <c r="B1156" t="s">
        <v>17</v>
      </c>
      <c r="C1156" t="s">
        <v>13</v>
      </c>
      <c r="D1156" t="s">
        <v>11</v>
      </c>
      <c r="E1156">
        <v>713</v>
      </c>
      <c r="F1156">
        <v>32</v>
      </c>
      <c r="G1156">
        <v>44</v>
      </c>
      <c r="H1156">
        <v>681</v>
      </c>
      <c r="I1156">
        <v>4.4880785413744739</v>
      </c>
      <c r="J1156">
        <v>95.511921458625523</v>
      </c>
      <c r="K1156" t="str">
        <f>_xlfn.XLOOKUP(tblProduction[[#This Row],[Product]],tblProducts[Product],tblProducts[Category],"Not Found")</f>
        <v>Precision</v>
      </c>
      <c r="L1156">
        <f>_xlfn.XLOOKUP(tblProduction[[#This Row],[Product]],tblProducts[Product],tblProducts[Target_Units],"Not Found")</f>
        <v>950</v>
      </c>
    </row>
    <row r="1157" spans="1:12" x14ac:dyDescent="0.3">
      <c r="A1157" s="1">
        <v>46153</v>
      </c>
      <c r="B1157" t="s">
        <v>9</v>
      </c>
      <c r="C1157" t="s">
        <v>10</v>
      </c>
      <c r="D1157" t="s">
        <v>16</v>
      </c>
      <c r="E1157">
        <v>1076</v>
      </c>
      <c r="F1157">
        <v>16</v>
      </c>
      <c r="G1157">
        <v>35</v>
      </c>
      <c r="H1157">
        <v>1060</v>
      </c>
      <c r="I1157">
        <v>1.486988847583643</v>
      </c>
      <c r="J1157">
        <v>98.513011152416354</v>
      </c>
      <c r="K1157" t="str">
        <f>_xlfn.XLOOKUP(tblProduction[[#This Row],[Product]],tblProducts[Product],tblProducts[Category],"Not Found")</f>
        <v>Standard</v>
      </c>
      <c r="L1157">
        <f>_xlfn.XLOOKUP(tblProduction[[#This Row],[Product]],tblProducts[Product],tblProducts[Target_Units],"Not Found")</f>
        <v>1000</v>
      </c>
    </row>
    <row r="1158" spans="1:12" x14ac:dyDescent="0.3">
      <c r="A1158" s="1">
        <v>46153</v>
      </c>
      <c r="B1158" t="s">
        <v>9</v>
      </c>
      <c r="C1158" t="s">
        <v>12</v>
      </c>
      <c r="D1158" t="s">
        <v>11</v>
      </c>
      <c r="E1158">
        <v>898</v>
      </c>
      <c r="F1158">
        <v>13</v>
      </c>
      <c r="G1158">
        <v>42</v>
      </c>
      <c r="H1158">
        <v>885</v>
      </c>
      <c r="I1158">
        <v>1.4476614699331849</v>
      </c>
      <c r="J1158">
        <v>98.55233853006682</v>
      </c>
      <c r="K1158" t="str">
        <f>_xlfn.XLOOKUP(tblProduction[[#This Row],[Product]],tblProducts[Product],tblProducts[Category],"Not Found")</f>
        <v>Precision</v>
      </c>
      <c r="L1158">
        <f>_xlfn.XLOOKUP(tblProduction[[#This Row],[Product]],tblProducts[Product],tblProducts[Target_Units],"Not Found")</f>
        <v>950</v>
      </c>
    </row>
    <row r="1159" spans="1:12" x14ac:dyDescent="0.3">
      <c r="A1159" s="1">
        <v>46153</v>
      </c>
      <c r="B1159" t="s">
        <v>9</v>
      </c>
      <c r="C1159" t="s">
        <v>13</v>
      </c>
      <c r="D1159" t="s">
        <v>14</v>
      </c>
      <c r="E1159">
        <v>844</v>
      </c>
      <c r="F1159">
        <v>27</v>
      </c>
      <c r="G1159">
        <v>10</v>
      </c>
      <c r="H1159">
        <v>817</v>
      </c>
      <c r="I1159">
        <v>3.199052132701421</v>
      </c>
      <c r="J1159">
        <v>96.800947867298575</v>
      </c>
      <c r="K1159" t="str">
        <f>_xlfn.XLOOKUP(tblProduction[[#This Row],[Product]],tblProducts[Product],tblProducts[Category],"Not Found")</f>
        <v>Assembly</v>
      </c>
      <c r="L1159">
        <f>_xlfn.XLOOKUP(tblProduction[[#This Row],[Product]],tblProducts[Product],tblProducts[Target_Units],"Not Found")</f>
        <v>850</v>
      </c>
    </row>
    <row r="1160" spans="1:12" x14ac:dyDescent="0.3">
      <c r="A1160" s="1">
        <v>46153</v>
      </c>
      <c r="B1160" t="s">
        <v>15</v>
      </c>
      <c r="C1160" t="s">
        <v>10</v>
      </c>
      <c r="D1160" t="s">
        <v>11</v>
      </c>
      <c r="E1160">
        <v>909</v>
      </c>
      <c r="F1160">
        <v>22</v>
      </c>
      <c r="G1160">
        <v>30</v>
      </c>
      <c r="H1160">
        <v>887</v>
      </c>
      <c r="I1160">
        <v>2.4202420242024201</v>
      </c>
      <c r="J1160">
        <v>97.579757975797577</v>
      </c>
      <c r="K1160" t="str">
        <f>_xlfn.XLOOKUP(tblProduction[[#This Row],[Product]],tblProducts[Product],tblProducts[Category],"Not Found")</f>
        <v>Precision</v>
      </c>
      <c r="L1160">
        <f>_xlfn.XLOOKUP(tblProduction[[#This Row],[Product]],tblProducts[Product],tblProducts[Target_Units],"Not Found")</f>
        <v>950</v>
      </c>
    </row>
    <row r="1161" spans="1:12" x14ac:dyDescent="0.3">
      <c r="A1161" s="1">
        <v>46153</v>
      </c>
      <c r="B1161" t="s">
        <v>15</v>
      </c>
      <c r="C1161" t="s">
        <v>12</v>
      </c>
      <c r="D1161" t="s">
        <v>18</v>
      </c>
      <c r="E1161">
        <v>814</v>
      </c>
      <c r="F1161">
        <v>20</v>
      </c>
      <c r="G1161">
        <v>26</v>
      </c>
      <c r="H1161">
        <v>794</v>
      </c>
      <c r="I1161">
        <v>2.4570024570024569</v>
      </c>
      <c r="J1161">
        <v>97.54299754299754</v>
      </c>
      <c r="K1161" t="str">
        <f>_xlfn.XLOOKUP(tblProduction[[#This Row],[Product]],tblProducts[Product],tblProducts[Category],"Not Found")</f>
        <v>Assembly</v>
      </c>
      <c r="L1161">
        <f>_xlfn.XLOOKUP(tblProduction[[#This Row],[Product]],tblProducts[Product],tblProducts[Target_Units],"Not Found")</f>
        <v>900</v>
      </c>
    </row>
    <row r="1162" spans="1:12" x14ac:dyDescent="0.3">
      <c r="A1162" s="1">
        <v>46153</v>
      </c>
      <c r="B1162" t="s">
        <v>15</v>
      </c>
      <c r="C1162" t="s">
        <v>13</v>
      </c>
      <c r="D1162" t="s">
        <v>11</v>
      </c>
      <c r="E1162">
        <v>811</v>
      </c>
      <c r="F1162">
        <v>28</v>
      </c>
      <c r="G1162">
        <v>0</v>
      </c>
      <c r="H1162">
        <v>783</v>
      </c>
      <c r="I1162">
        <v>3.45252774352651</v>
      </c>
      <c r="J1162">
        <v>96.547472256473483</v>
      </c>
      <c r="K1162" t="str">
        <f>_xlfn.XLOOKUP(tblProduction[[#This Row],[Product]],tblProducts[Product],tblProducts[Category],"Not Found")</f>
        <v>Precision</v>
      </c>
      <c r="L1162">
        <f>_xlfn.XLOOKUP(tblProduction[[#This Row],[Product]],tblProducts[Product],tblProducts[Target_Units],"Not Found")</f>
        <v>950</v>
      </c>
    </row>
    <row r="1163" spans="1:12" x14ac:dyDescent="0.3">
      <c r="A1163" s="1">
        <v>46153</v>
      </c>
      <c r="B1163" t="s">
        <v>17</v>
      </c>
      <c r="C1163" t="s">
        <v>12</v>
      </c>
      <c r="D1163" t="s">
        <v>18</v>
      </c>
      <c r="E1163">
        <v>728</v>
      </c>
      <c r="F1163">
        <v>25</v>
      </c>
      <c r="G1163">
        <v>6</v>
      </c>
      <c r="H1163">
        <v>703</v>
      </c>
      <c r="I1163">
        <v>3.4340659340659339</v>
      </c>
      <c r="J1163">
        <v>96.565934065934073</v>
      </c>
      <c r="K1163" t="str">
        <f>_xlfn.XLOOKUP(tblProduction[[#This Row],[Product]],tblProducts[Product],tblProducts[Category],"Not Found")</f>
        <v>Assembly</v>
      </c>
      <c r="L1163">
        <f>_xlfn.XLOOKUP(tblProduction[[#This Row],[Product]],tblProducts[Product],tblProducts[Target_Units],"Not Found")</f>
        <v>900</v>
      </c>
    </row>
    <row r="1164" spans="1:12" x14ac:dyDescent="0.3">
      <c r="A1164" s="1">
        <v>46153</v>
      </c>
      <c r="B1164" t="s">
        <v>17</v>
      </c>
      <c r="C1164" t="s">
        <v>13</v>
      </c>
      <c r="D1164" t="s">
        <v>16</v>
      </c>
      <c r="E1164">
        <v>702</v>
      </c>
      <c r="F1164">
        <v>31</v>
      </c>
      <c r="G1164">
        <v>76</v>
      </c>
      <c r="H1164">
        <v>671</v>
      </c>
      <c r="I1164">
        <v>4.415954415954416</v>
      </c>
      <c r="J1164">
        <v>95.584045584045583</v>
      </c>
      <c r="K1164" t="str">
        <f>_xlfn.XLOOKUP(tblProduction[[#This Row],[Product]],tblProducts[Product],tblProducts[Category],"Not Found")</f>
        <v>Standard</v>
      </c>
      <c r="L1164">
        <f>_xlfn.XLOOKUP(tblProduction[[#This Row],[Product]],tblProducts[Product],tblProducts[Target_Units],"Not Found")</f>
        <v>1000</v>
      </c>
    </row>
    <row r="1165" spans="1:12" x14ac:dyDescent="0.3">
      <c r="A1165" s="1">
        <v>46154</v>
      </c>
      <c r="B1165" t="s">
        <v>9</v>
      </c>
      <c r="C1165" t="s">
        <v>10</v>
      </c>
      <c r="D1165" t="s">
        <v>16</v>
      </c>
      <c r="E1165">
        <v>1083</v>
      </c>
      <c r="F1165">
        <v>16</v>
      </c>
      <c r="G1165">
        <v>16</v>
      </c>
      <c r="H1165">
        <v>1067</v>
      </c>
      <c r="I1165">
        <v>1.4773776546629731</v>
      </c>
      <c r="J1165">
        <v>98.522622345337027</v>
      </c>
      <c r="K1165" t="str">
        <f>_xlfn.XLOOKUP(tblProduction[[#This Row],[Product]],tblProducts[Product],tblProducts[Category],"Not Found")</f>
        <v>Standard</v>
      </c>
      <c r="L1165">
        <f>_xlfn.XLOOKUP(tblProduction[[#This Row],[Product]],tblProducts[Product],tblProducts[Target_Units],"Not Found")</f>
        <v>1000</v>
      </c>
    </row>
    <row r="1166" spans="1:12" x14ac:dyDescent="0.3">
      <c r="A1166" s="1">
        <v>46154</v>
      </c>
      <c r="B1166" t="s">
        <v>9</v>
      </c>
      <c r="C1166" t="s">
        <v>12</v>
      </c>
      <c r="D1166" t="s">
        <v>11</v>
      </c>
      <c r="E1166">
        <v>918</v>
      </c>
      <c r="F1166">
        <v>13</v>
      </c>
      <c r="G1166">
        <v>30</v>
      </c>
      <c r="H1166">
        <v>905</v>
      </c>
      <c r="I1166">
        <v>1.416122004357298</v>
      </c>
      <c r="J1166">
        <v>98.583877995642695</v>
      </c>
      <c r="K1166" t="str">
        <f>_xlfn.XLOOKUP(tblProduction[[#This Row],[Product]],tblProducts[Product],tblProducts[Category],"Not Found")</f>
        <v>Precision</v>
      </c>
      <c r="L1166">
        <f>_xlfn.XLOOKUP(tblProduction[[#This Row],[Product]],tblProducts[Product],tblProducts[Target_Units],"Not Found")</f>
        <v>950</v>
      </c>
    </row>
    <row r="1167" spans="1:12" x14ac:dyDescent="0.3">
      <c r="A1167" s="1">
        <v>46154</v>
      </c>
      <c r="B1167" t="s">
        <v>9</v>
      </c>
      <c r="C1167" t="s">
        <v>13</v>
      </c>
      <c r="D1167" t="s">
        <v>14</v>
      </c>
      <c r="E1167">
        <v>745</v>
      </c>
      <c r="F1167">
        <v>24</v>
      </c>
      <c r="G1167">
        <v>35</v>
      </c>
      <c r="H1167">
        <v>721</v>
      </c>
      <c r="I1167">
        <v>3.2214765100671139</v>
      </c>
      <c r="J1167">
        <v>96.778523489932894</v>
      </c>
      <c r="K1167" t="str">
        <f>_xlfn.XLOOKUP(tblProduction[[#This Row],[Product]],tblProducts[Product],tblProducts[Category],"Not Found")</f>
        <v>Assembly</v>
      </c>
      <c r="L1167">
        <f>_xlfn.XLOOKUP(tblProduction[[#This Row],[Product]],tblProducts[Product],tblProducts[Target_Units],"Not Found")</f>
        <v>850</v>
      </c>
    </row>
    <row r="1168" spans="1:12" x14ac:dyDescent="0.3">
      <c r="A1168" s="1">
        <v>46154</v>
      </c>
      <c r="B1168" t="s">
        <v>15</v>
      </c>
      <c r="C1168" t="s">
        <v>10</v>
      </c>
      <c r="D1168" t="s">
        <v>11</v>
      </c>
      <c r="E1168">
        <v>872</v>
      </c>
      <c r="F1168">
        <v>21</v>
      </c>
      <c r="G1168">
        <v>27</v>
      </c>
      <c r="H1168">
        <v>851</v>
      </c>
      <c r="I1168">
        <v>2.4082568807339451</v>
      </c>
      <c r="J1168">
        <v>97.591743119266056</v>
      </c>
      <c r="K1168" t="str">
        <f>_xlfn.XLOOKUP(tblProduction[[#This Row],[Product]],tblProducts[Product],tblProducts[Category],"Not Found")</f>
        <v>Precision</v>
      </c>
      <c r="L1168">
        <f>_xlfn.XLOOKUP(tblProduction[[#This Row],[Product]],tblProducts[Product],tblProducts[Target_Units],"Not Found")</f>
        <v>950</v>
      </c>
    </row>
    <row r="1169" spans="1:12" x14ac:dyDescent="0.3">
      <c r="A1169" s="1">
        <v>46154</v>
      </c>
      <c r="B1169" t="s">
        <v>15</v>
      </c>
      <c r="C1169" t="s">
        <v>12</v>
      </c>
      <c r="D1169" t="s">
        <v>11</v>
      </c>
      <c r="E1169">
        <v>759</v>
      </c>
      <c r="F1169">
        <v>18</v>
      </c>
      <c r="G1169">
        <v>80</v>
      </c>
      <c r="H1169">
        <v>741</v>
      </c>
      <c r="I1169">
        <v>2.3715415019762842</v>
      </c>
      <c r="J1169">
        <v>97.628458498023718</v>
      </c>
      <c r="K1169" t="str">
        <f>_xlfn.XLOOKUP(tblProduction[[#This Row],[Product]],tblProducts[Product],tblProducts[Category],"Not Found")</f>
        <v>Precision</v>
      </c>
      <c r="L1169">
        <f>_xlfn.XLOOKUP(tblProduction[[#This Row],[Product]],tblProducts[Product],tblProducts[Target_Units],"Not Found")</f>
        <v>950</v>
      </c>
    </row>
    <row r="1170" spans="1:12" x14ac:dyDescent="0.3">
      <c r="A1170" s="1">
        <v>46154</v>
      </c>
      <c r="B1170" t="s">
        <v>15</v>
      </c>
      <c r="C1170" t="s">
        <v>13</v>
      </c>
      <c r="D1170" t="s">
        <v>18</v>
      </c>
      <c r="E1170">
        <v>728</v>
      </c>
      <c r="F1170">
        <v>25</v>
      </c>
      <c r="G1170">
        <v>35</v>
      </c>
      <c r="H1170">
        <v>703</v>
      </c>
      <c r="I1170">
        <v>3.4340659340659339</v>
      </c>
      <c r="J1170">
        <v>96.565934065934073</v>
      </c>
      <c r="K1170" t="str">
        <f>_xlfn.XLOOKUP(tblProduction[[#This Row],[Product]],tblProducts[Product],tblProducts[Category],"Not Found")</f>
        <v>Assembly</v>
      </c>
      <c r="L1170">
        <f>_xlfn.XLOOKUP(tblProduction[[#This Row],[Product]],tblProducts[Product],tblProducts[Target_Units],"Not Found")</f>
        <v>900</v>
      </c>
    </row>
    <row r="1171" spans="1:12" x14ac:dyDescent="0.3">
      <c r="A1171" s="1">
        <v>46154</v>
      </c>
      <c r="B1171" t="s">
        <v>17</v>
      </c>
      <c r="C1171" t="s">
        <v>10</v>
      </c>
      <c r="D1171" t="s">
        <v>18</v>
      </c>
      <c r="E1171">
        <v>797</v>
      </c>
      <c r="F1171">
        <v>27</v>
      </c>
      <c r="G1171">
        <v>14</v>
      </c>
      <c r="H1171">
        <v>770</v>
      </c>
      <c r="I1171">
        <v>3.3877038895859481</v>
      </c>
      <c r="J1171">
        <v>96.61229611041405</v>
      </c>
      <c r="K1171" t="str">
        <f>_xlfn.XLOOKUP(tblProduction[[#This Row],[Product]],tblProducts[Product],tblProducts[Category],"Not Found")</f>
        <v>Assembly</v>
      </c>
      <c r="L1171">
        <f>_xlfn.XLOOKUP(tblProduction[[#This Row],[Product]],tblProducts[Product],tblProducts[Target_Units],"Not Found")</f>
        <v>900</v>
      </c>
    </row>
    <row r="1172" spans="1:12" x14ac:dyDescent="0.3">
      <c r="A1172" s="1">
        <v>46154</v>
      </c>
      <c r="B1172" t="s">
        <v>17</v>
      </c>
      <c r="C1172" t="s">
        <v>12</v>
      </c>
      <c r="D1172" t="s">
        <v>18</v>
      </c>
      <c r="E1172">
        <v>642</v>
      </c>
      <c r="F1172">
        <v>22</v>
      </c>
      <c r="G1172">
        <v>73</v>
      </c>
      <c r="H1172">
        <v>620</v>
      </c>
      <c r="I1172">
        <v>3.426791277258566</v>
      </c>
      <c r="J1172">
        <v>96.573208722741427</v>
      </c>
      <c r="K1172" t="str">
        <f>_xlfn.XLOOKUP(tblProduction[[#This Row],[Product]],tblProducts[Product],tblProducts[Category],"Not Found")</f>
        <v>Assembly</v>
      </c>
      <c r="L1172">
        <f>_xlfn.XLOOKUP(tblProduction[[#This Row],[Product]],tblProducts[Product],tblProducts[Target_Units],"Not Found")</f>
        <v>900</v>
      </c>
    </row>
    <row r="1173" spans="1:12" x14ac:dyDescent="0.3">
      <c r="A1173" s="1">
        <v>46154</v>
      </c>
      <c r="B1173" t="s">
        <v>17</v>
      </c>
      <c r="C1173" t="s">
        <v>13</v>
      </c>
      <c r="D1173" t="s">
        <v>11</v>
      </c>
      <c r="E1173">
        <v>719</v>
      </c>
      <c r="F1173">
        <v>32</v>
      </c>
      <c r="G1173">
        <v>27</v>
      </c>
      <c r="H1173">
        <v>687</v>
      </c>
      <c r="I1173">
        <v>4.4506258692628649</v>
      </c>
      <c r="J1173">
        <v>95.549374130737135</v>
      </c>
      <c r="K1173" t="str">
        <f>_xlfn.XLOOKUP(tblProduction[[#This Row],[Product]],tblProducts[Product],tblProducts[Category],"Not Found")</f>
        <v>Precision</v>
      </c>
      <c r="L1173">
        <f>_xlfn.XLOOKUP(tblProduction[[#This Row],[Product]],tblProducts[Product],tblProducts[Target_Units],"Not Found")</f>
        <v>950</v>
      </c>
    </row>
    <row r="1174" spans="1:12" x14ac:dyDescent="0.3">
      <c r="A1174" s="1">
        <v>46155</v>
      </c>
      <c r="B1174" t="s">
        <v>9</v>
      </c>
      <c r="C1174" t="s">
        <v>10</v>
      </c>
      <c r="D1174" t="s">
        <v>16</v>
      </c>
      <c r="E1174">
        <v>1034</v>
      </c>
      <c r="F1174">
        <v>15</v>
      </c>
      <c r="G1174">
        <v>35</v>
      </c>
      <c r="H1174">
        <v>1019</v>
      </c>
      <c r="I1174">
        <v>1.4506769825918759</v>
      </c>
      <c r="J1174">
        <v>98.549323017408113</v>
      </c>
      <c r="K1174" t="str">
        <f>_xlfn.XLOOKUP(tblProduction[[#This Row],[Product]],tblProducts[Product],tblProducts[Category],"Not Found")</f>
        <v>Standard</v>
      </c>
      <c r="L1174">
        <f>_xlfn.XLOOKUP(tblProduction[[#This Row],[Product]],tblProducts[Product],tblProducts[Target_Units],"Not Found")</f>
        <v>1000</v>
      </c>
    </row>
    <row r="1175" spans="1:12" x14ac:dyDescent="0.3">
      <c r="A1175" s="1">
        <v>46155</v>
      </c>
      <c r="B1175" t="s">
        <v>9</v>
      </c>
      <c r="C1175" t="s">
        <v>12</v>
      </c>
      <c r="D1175" t="s">
        <v>16</v>
      </c>
      <c r="E1175">
        <v>994</v>
      </c>
      <c r="F1175">
        <v>14</v>
      </c>
      <c r="G1175">
        <v>38</v>
      </c>
      <c r="H1175">
        <v>980</v>
      </c>
      <c r="I1175">
        <v>1.408450704225352</v>
      </c>
      <c r="J1175">
        <v>98.591549295774655</v>
      </c>
      <c r="K1175" t="str">
        <f>_xlfn.XLOOKUP(tblProduction[[#This Row],[Product]],tblProducts[Product],tblProducts[Category],"Not Found")</f>
        <v>Standard</v>
      </c>
      <c r="L1175">
        <f>_xlfn.XLOOKUP(tblProduction[[#This Row],[Product]],tblProducts[Product],tblProducts[Target_Units],"Not Found")</f>
        <v>1000</v>
      </c>
    </row>
    <row r="1176" spans="1:12" x14ac:dyDescent="0.3">
      <c r="A1176" s="1">
        <v>46155</v>
      </c>
      <c r="B1176" t="s">
        <v>9</v>
      </c>
      <c r="C1176" t="s">
        <v>13</v>
      </c>
      <c r="D1176" t="s">
        <v>11</v>
      </c>
      <c r="E1176">
        <v>857</v>
      </c>
      <c r="F1176">
        <v>21</v>
      </c>
      <c r="G1176">
        <v>51</v>
      </c>
      <c r="H1176">
        <v>836</v>
      </c>
      <c r="I1176">
        <v>2.450408401400233</v>
      </c>
      <c r="J1176">
        <v>97.549591598599775</v>
      </c>
      <c r="K1176" t="str">
        <f>_xlfn.XLOOKUP(tblProduction[[#This Row],[Product]],tblProducts[Product],tblProducts[Category],"Not Found")</f>
        <v>Precision</v>
      </c>
      <c r="L1176">
        <f>_xlfn.XLOOKUP(tblProduction[[#This Row],[Product]],tblProducts[Product],tblProducts[Target_Units],"Not Found")</f>
        <v>950</v>
      </c>
    </row>
    <row r="1177" spans="1:12" x14ac:dyDescent="0.3">
      <c r="A1177" s="1">
        <v>46155</v>
      </c>
      <c r="B1177" t="s">
        <v>15</v>
      </c>
      <c r="C1177" t="s">
        <v>10</v>
      </c>
      <c r="D1177" t="s">
        <v>18</v>
      </c>
      <c r="E1177">
        <v>831</v>
      </c>
      <c r="F1177">
        <v>20</v>
      </c>
      <c r="G1177">
        <v>27</v>
      </c>
      <c r="H1177">
        <v>811</v>
      </c>
      <c r="I1177">
        <v>2.4067388688327318</v>
      </c>
      <c r="J1177">
        <v>97.593261131167267</v>
      </c>
      <c r="K1177" t="str">
        <f>_xlfn.XLOOKUP(tblProduction[[#This Row],[Product]],tblProducts[Product],tblProducts[Category],"Not Found")</f>
        <v>Assembly</v>
      </c>
      <c r="L1177">
        <f>_xlfn.XLOOKUP(tblProduction[[#This Row],[Product]],tblProducts[Product],tblProducts[Target_Units],"Not Found")</f>
        <v>900</v>
      </c>
    </row>
    <row r="1178" spans="1:12" x14ac:dyDescent="0.3">
      <c r="A1178" s="1">
        <v>46155</v>
      </c>
      <c r="B1178" t="s">
        <v>15</v>
      </c>
      <c r="C1178" t="s">
        <v>12</v>
      </c>
      <c r="D1178" t="s">
        <v>11</v>
      </c>
      <c r="E1178">
        <v>883</v>
      </c>
      <c r="F1178">
        <v>22</v>
      </c>
      <c r="G1178">
        <v>29</v>
      </c>
      <c r="H1178">
        <v>861</v>
      </c>
      <c r="I1178">
        <v>2.491506228765572</v>
      </c>
      <c r="J1178">
        <v>97.508493771234427</v>
      </c>
      <c r="K1178" t="str">
        <f>_xlfn.XLOOKUP(tblProduction[[#This Row],[Product]],tblProducts[Product],tblProducts[Category],"Not Found")</f>
        <v>Precision</v>
      </c>
      <c r="L1178">
        <f>_xlfn.XLOOKUP(tblProduction[[#This Row],[Product]],tblProducts[Product],tblProducts[Target_Units],"Not Found")</f>
        <v>950</v>
      </c>
    </row>
    <row r="1179" spans="1:12" x14ac:dyDescent="0.3">
      <c r="A1179" s="1">
        <v>46155</v>
      </c>
      <c r="B1179" t="s">
        <v>15</v>
      </c>
      <c r="C1179" t="s">
        <v>13</v>
      </c>
      <c r="D1179" t="s">
        <v>18</v>
      </c>
      <c r="E1179">
        <v>712</v>
      </c>
      <c r="F1179">
        <v>24</v>
      </c>
      <c r="G1179">
        <v>73</v>
      </c>
      <c r="H1179">
        <v>688</v>
      </c>
      <c r="I1179">
        <v>3.3707865168539319</v>
      </c>
      <c r="J1179">
        <v>96.629213483146074</v>
      </c>
      <c r="K1179" t="str">
        <f>_xlfn.XLOOKUP(tblProduction[[#This Row],[Product]],tblProducts[Product],tblProducts[Category],"Not Found")</f>
        <v>Assembly</v>
      </c>
      <c r="L1179">
        <f>_xlfn.XLOOKUP(tblProduction[[#This Row],[Product]],tblProducts[Product],tblProducts[Target_Units],"Not Found")</f>
        <v>900</v>
      </c>
    </row>
    <row r="1180" spans="1:12" x14ac:dyDescent="0.3">
      <c r="A1180" s="1">
        <v>46155</v>
      </c>
      <c r="B1180" t="s">
        <v>17</v>
      </c>
      <c r="C1180" t="s">
        <v>10</v>
      </c>
      <c r="D1180" t="s">
        <v>11</v>
      </c>
      <c r="E1180">
        <v>854</v>
      </c>
      <c r="F1180">
        <v>29</v>
      </c>
      <c r="G1180">
        <v>17</v>
      </c>
      <c r="H1180">
        <v>825</v>
      </c>
      <c r="I1180">
        <v>3.3957845433255271</v>
      </c>
      <c r="J1180">
        <v>96.604215456674467</v>
      </c>
      <c r="K1180" t="str">
        <f>_xlfn.XLOOKUP(tblProduction[[#This Row],[Product]],tblProducts[Product],tblProducts[Category],"Not Found")</f>
        <v>Precision</v>
      </c>
      <c r="L1180">
        <f>_xlfn.XLOOKUP(tblProduction[[#This Row],[Product]],tblProducts[Product],tblProducts[Target_Units],"Not Found")</f>
        <v>950</v>
      </c>
    </row>
    <row r="1181" spans="1:12" x14ac:dyDescent="0.3">
      <c r="A1181" s="1">
        <v>46155</v>
      </c>
      <c r="B1181" t="s">
        <v>17</v>
      </c>
      <c r="C1181" t="s">
        <v>12</v>
      </c>
      <c r="D1181" t="s">
        <v>16</v>
      </c>
      <c r="E1181">
        <v>719</v>
      </c>
      <c r="F1181">
        <v>25</v>
      </c>
      <c r="G1181">
        <v>72</v>
      </c>
      <c r="H1181">
        <v>694</v>
      </c>
      <c r="I1181">
        <v>3.4770514603616132</v>
      </c>
      <c r="J1181">
        <v>96.522948539638392</v>
      </c>
      <c r="K1181" t="str">
        <f>_xlfn.XLOOKUP(tblProduction[[#This Row],[Product]],tblProducts[Product],tblProducts[Category],"Not Found")</f>
        <v>Standard</v>
      </c>
      <c r="L1181">
        <f>_xlfn.XLOOKUP(tblProduction[[#This Row],[Product]],tblProducts[Product],tblProducts[Target_Units],"Not Found")</f>
        <v>1000</v>
      </c>
    </row>
    <row r="1182" spans="1:12" x14ac:dyDescent="0.3">
      <c r="A1182" s="1">
        <v>46155</v>
      </c>
      <c r="B1182" t="s">
        <v>17</v>
      </c>
      <c r="C1182" t="s">
        <v>13</v>
      </c>
      <c r="D1182" t="s">
        <v>14</v>
      </c>
      <c r="E1182">
        <v>649</v>
      </c>
      <c r="F1182">
        <v>34</v>
      </c>
      <c r="G1182">
        <v>27</v>
      </c>
      <c r="H1182">
        <v>615</v>
      </c>
      <c r="I1182">
        <v>5.2388289676425268</v>
      </c>
      <c r="J1182">
        <v>94.761171032357467</v>
      </c>
      <c r="K1182" t="str">
        <f>_xlfn.XLOOKUP(tblProduction[[#This Row],[Product]],tblProducts[Product],tblProducts[Category],"Not Found")</f>
        <v>Assembly</v>
      </c>
      <c r="L1182">
        <f>_xlfn.XLOOKUP(tblProduction[[#This Row],[Product]],tblProducts[Product],tblProducts[Target_Units],"Not Found")</f>
        <v>850</v>
      </c>
    </row>
    <row r="1183" spans="1:12" x14ac:dyDescent="0.3">
      <c r="A1183" s="1">
        <v>46156</v>
      </c>
      <c r="B1183" t="s">
        <v>9</v>
      </c>
      <c r="C1183" t="s">
        <v>10</v>
      </c>
      <c r="D1183" t="s">
        <v>11</v>
      </c>
      <c r="E1183">
        <v>922</v>
      </c>
      <c r="F1183">
        <v>13</v>
      </c>
      <c r="G1183">
        <v>83</v>
      </c>
      <c r="H1183">
        <v>909</v>
      </c>
      <c r="I1183">
        <v>1.40997830802603</v>
      </c>
      <c r="J1183">
        <v>98.590021691973973</v>
      </c>
      <c r="K1183" t="str">
        <f>_xlfn.XLOOKUP(tblProduction[[#This Row],[Product]],tblProducts[Product],tblProducts[Category],"Not Found")</f>
        <v>Precision</v>
      </c>
      <c r="L1183">
        <f>_xlfn.XLOOKUP(tblProduction[[#This Row],[Product]],tblProducts[Product],tblProducts[Target_Units],"Not Found")</f>
        <v>950</v>
      </c>
    </row>
    <row r="1184" spans="1:12" x14ac:dyDescent="0.3">
      <c r="A1184" s="1">
        <v>46156</v>
      </c>
      <c r="B1184" t="s">
        <v>9</v>
      </c>
      <c r="C1184" t="s">
        <v>12</v>
      </c>
      <c r="D1184" t="s">
        <v>16</v>
      </c>
      <c r="E1184">
        <v>898</v>
      </c>
      <c r="F1184">
        <v>13</v>
      </c>
      <c r="G1184">
        <v>90</v>
      </c>
      <c r="H1184">
        <v>885</v>
      </c>
      <c r="I1184">
        <v>1.4476614699331849</v>
      </c>
      <c r="J1184">
        <v>98.55233853006682</v>
      </c>
      <c r="K1184" t="str">
        <f>_xlfn.XLOOKUP(tblProduction[[#This Row],[Product]],tblProducts[Product],tblProducts[Category],"Not Found")</f>
        <v>Standard</v>
      </c>
      <c r="L1184">
        <f>_xlfn.XLOOKUP(tblProduction[[#This Row],[Product]],tblProducts[Product],tblProducts[Target_Units],"Not Found")</f>
        <v>1000</v>
      </c>
    </row>
    <row r="1185" spans="1:12" x14ac:dyDescent="0.3">
      <c r="A1185" s="1">
        <v>46156</v>
      </c>
      <c r="B1185" t="s">
        <v>9</v>
      </c>
      <c r="C1185" t="s">
        <v>13</v>
      </c>
      <c r="D1185" t="s">
        <v>11</v>
      </c>
      <c r="E1185">
        <v>905</v>
      </c>
      <c r="F1185">
        <v>22</v>
      </c>
      <c r="G1185">
        <v>25</v>
      </c>
      <c r="H1185">
        <v>883</v>
      </c>
      <c r="I1185">
        <v>2.430939226519337</v>
      </c>
      <c r="J1185">
        <v>97.569060773480658</v>
      </c>
      <c r="K1185" t="str">
        <f>_xlfn.XLOOKUP(tblProduction[[#This Row],[Product]],tblProducts[Product],tblProducts[Category],"Not Found")</f>
        <v>Precision</v>
      </c>
      <c r="L1185">
        <f>_xlfn.XLOOKUP(tblProduction[[#This Row],[Product]],tblProducts[Product],tblProducts[Target_Units],"Not Found")</f>
        <v>950</v>
      </c>
    </row>
    <row r="1186" spans="1:12" x14ac:dyDescent="0.3">
      <c r="A1186" s="1">
        <v>46156</v>
      </c>
      <c r="B1186" t="s">
        <v>15</v>
      </c>
      <c r="C1186" t="s">
        <v>10</v>
      </c>
      <c r="D1186" t="s">
        <v>18</v>
      </c>
      <c r="E1186">
        <v>769</v>
      </c>
      <c r="F1186">
        <v>19</v>
      </c>
      <c r="G1186">
        <v>87</v>
      </c>
      <c r="H1186">
        <v>750</v>
      </c>
      <c r="I1186">
        <v>2.4707412223667098</v>
      </c>
      <c r="J1186">
        <v>97.529258777633288</v>
      </c>
      <c r="K1186" t="str">
        <f>_xlfn.XLOOKUP(tblProduction[[#This Row],[Product]],tblProducts[Product],tblProducts[Category],"Not Found")</f>
        <v>Assembly</v>
      </c>
      <c r="L1186">
        <f>_xlfn.XLOOKUP(tblProduction[[#This Row],[Product]],tblProducts[Product],tblProducts[Target_Units],"Not Found")</f>
        <v>900</v>
      </c>
    </row>
    <row r="1187" spans="1:12" x14ac:dyDescent="0.3">
      <c r="A1187" s="1">
        <v>46156</v>
      </c>
      <c r="B1187" t="s">
        <v>15</v>
      </c>
      <c r="C1187" t="s">
        <v>12</v>
      </c>
      <c r="D1187" t="s">
        <v>11</v>
      </c>
      <c r="E1187">
        <v>815</v>
      </c>
      <c r="F1187">
        <v>20</v>
      </c>
      <c r="G1187">
        <v>79</v>
      </c>
      <c r="H1187">
        <v>795</v>
      </c>
      <c r="I1187">
        <v>2.4539877300613502</v>
      </c>
      <c r="J1187">
        <v>97.546012269938657</v>
      </c>
      <c r="K1187" t="str">
        <f>_xlfn.XLOOKUP(tblProduction[[#This Row],[Product]],tblProducts[Product],tblProducts[Category],"Not Found")</f>
        <v>Precision</v>
      </c>
      <c r="L1187">
        <f>_xlfn.XLOOKUP(tblProduction[[#This Row],[Product]],tblProducts[Product],tblProducts[Target_Units],"Not Found")</f>
        <v>950</v>
      </c>
    </row>
    <row r="1188" spans="1:12" x14ac:dyDescent="0.3">
      <c r="A1188" s="1">
        <v>46156</v>
      </c>
      <c r="B1188" t="s">
        <v>15</v>
      </c>
      <c r="C1188" t="s">
        <v>13</v>
      </c>
      <c r="D1188" t="s">
        <v>14</v>
      </c>
      <c r="E1188">
        <v>659</v>
      </c>
      <c r="F1188">
        <v>28</v>
      </c>
      <c r="G1188">
        <v>72</v>
      </c>
      <c r="H1188">
        <v>631</v>
      </c>
      <c r="I1188">
        <v>4.2488619119878601</v>
      </c>
      <c r="J1188">
        <v>95.751138088012141</v>
      </c>
      <c r="K1188" t="str">
        <f>_xlfn.XLOOKUP(tblProduction[[#This Row],[Product]],tblProducts[Product],tblProducts[Category],"Not Found")</f>
        <v>Assembly</v>
      </c>
      <c r="L1188">
        <f>_xlfn.XLOOKUP(tblProduction[[#This Row],[Product]],tblProducts[Product],tblProducts[Target_Units],"Not Found")</f>
        <v>850</v>
      </c>
    </row>
    <row r="1189" spans="1:12" x14ac:dyDescent="0.3">
      <c r="A1189" s="1">
        <v>46156</v>
      </c>
      <c r="B1189" t="s">
        <v>17</v>
      </c>
      <c r="C1189" t="s">
        <v>10</v>
      </c>
      <c r="D1189" t="s">
        <v>11</v>
      </c>
      <c r="E1189">
        <v>859</v>
      </c>
      <c r="F1189">
        <v>30</v>
      </c>
      <c r="G1189">
        <v>20</v>
      </c>
      <c r="H1189">
        <v>829</v>
      </c>
      <c r="I1189">
        <v>3.49243306169965</v>
      </c>
      <c r="J1189">
        <v>96.507566938300343</v>
      </c>
      <c r="K1189" t="str">
        <f>_xlfn.XLOOKUP(tblProduction[[#This Row],[Product]],tblProducts[Product],tblProducts[Category],"Not Found")</f>
        <v>Precision</v>
      </c>
      <c r="L1189">
        <f>_xlfn.XLOOKUP(tblProduction[[#This Row],[Product]],tblProducts[Product],tblProducts[Target_Units],"Not Found")</f>
        <v>950</v>
      </c>
    </row>
    <row r="1190" spans="1:12" x14ac:dyDescent="0.3">
      <c r="A1190" s="1">
        <v>46156</v>
      </c>
      <c r="B1190" t="s">
        <v>17</v>
      </c>
      <c r="C1190" t="s">
        <v>12</v>
      </c>
      <c r="D1190" t="s">
        <v>16</v>
      </c>
      <c r="E1190">
        <v>792</v>
      </c>
      <c r="F1190">
        <v>27</v>
      </c>
      <c r="G1190">
        <v>46</v>
      </c>
      <c r="H1190">
        <v>765</v>
      </c>
      <c r="I1190">
        <v>3.4090909090909092</v>
      </c>
      <c r="J1190">
        <v>96.590909090909093</v>
      </c>
      <c r="K1190" t="str">
        <f>_xlfn.XLOOKUP(tblProduction[[#This Row],[Product]],tblProducts[Product],tblProducts[Category],"Not Found")</f>
        <v>Standard</v>
      </c>
      <c r="L1190">
        <f>_xlfn.XLOOKUP(tblProduction[[#This Row],[Product]],tblProducts[Product],tblProducts[Target_Units],"Not Found")</f>
        <v>1000</v>
      </c>
    </row>
    <row r="1191" spans="1:12" x14ac:dyDescent="0.3">
      <c r="A1191" s="1">
        <v>46156</v>
      </c>
      <c r="B1191" t="s">
        <v>17</v>
      </c>
      <c r="C1191" t="s">
        <v>13</v>
      </c>
      <c r="D1191" t="s">
        <v>14</v>
      </c>
      <c r="E1191">
        <v>666</v>
      </c>
      <c r="F1191">
        <v>35</v>
      </c>
      <c r="G1191">
        <v>28</v>
      </c>
      <c r="H1191">
        <v>631</v>
      </c>
      <c r="I1191">
        <v>5.2552552552552552</v>
      </c>
      <c r="J1191">
        <v>94.74474474474475</v>
      </c>
      <c r="K1191" t="str">
        <f>_xlfn.XLOOKUP(tblProduction[[#This Row],[Product]],tblProducts[Product],tblProducts[Category],"Not Found")</f>
        <v>Assembly</v>
      </c>
      <c r="L1191">
        <f>_xlfn.XLOOKUP(tblProduction[[#This Row],[Product]],tblProducts[Product],tblProducts[Target_Units],"Not Found")</f>
        <v>850</v>
      </c>
    </row>
    <row r="1192" spans="1:12" x14ac:dyDescent="0.3">
      <c r="A1192" s="1">
        <v>46157</v>
      </c>
      <c r="B1192" t="s">
        <v>9</v>
      </c>
      <c r="C1192" t="s">
        <v>10</v>
      </c>
      <c r="D1192" t="s">
        <v>16</v>
      </c>
      <c r="E1192">
        <v>1084</v>
      </c>
      <c r="F1192">
        <v>16</v>
      </c>
      <c r="G1192">
        <v>11</v>
      </c>
      <c r="H1192">
        <v>1068</v>
      </c>
      <c r="I1192">
        <v>1.476014760147601</v>
      </c>
      <c r="J1192">
        <v>98.523985239852394</v>
      </c>
      <c r="K1192" t="str">
        <f>_xlfn.XLOOKUP(tblProduction[[#This Row],[Product]],tblProducts[Product],tblProducts[Category],"Not Found")</f>
        <v>Standard</v>
      </c>
      <c r="L1192">
        <f>_xlfn.XLOOKUP(tblProduction[[#This Row],[Product]],tblProducts[Product],tblProducts[Target_Units],"Not Found")</f>
        <v>1000</v>
      </c>
    </row>
    <row r="1193" spans="1:12" x14ac:dyDescent="0.3">
      <c r="A1193" s="1">
        <v>46157</v>
      </c>
      <c r="B1193" t="s">
        <v>9</v>
      </c>
      <c r="C1193" t="s">
        <v>12</v>
      </c>
      <c r="D1193" t="s">
        <v>11</v>
      </c>
      <c r="E1193">
        <v>939</v>
      </c>
      <c r="F1193">
        <v>14</v>
      </c>
      <c r="G1193">
        <v>48</v>
      </c>
      <c r="H1193">
        <v>925</v>
      </c>
      <c r="I1193">
        <v>1.490947816826411</v>
      </c>
      <c r="J1193">
        <v>98.50905218317358</v>
      </c>
      <c r="K1193" t="str">
        <f>_xlfn.XLOOKUP(tblProduction[[#This Row],[Product]],tblProducts[Product],tblProducts[Category],"Not Found")</f>
        <v>Precision</v>
      </c>
      <c r="L1193">
        <f>_xlfn.XLOOKUP(tblProduction[[#This Row],[Product]],tblProducts[Product],tblProducts[Target_Units],"Not Found")</f>
        <v>950</v>
      </c>
    </row>
    <row r="1194" spans="1:12" x14ac:dyDescent="0.3">
      <c r="A1194" s="1">
        <v>46157</v>
      </c>
      <c r="B1194" t="s">
        <v>9</v>
      </c>
      <c r="C1194" t="s">
        <v>13</v>
      </c>
      <c r="D1194" t="s">
        <v>16</v>
      </c>
      <c r="E1194">
        <v>814</v>
      </c>
      <c r="F1194">
        <v>20</v>
      </c>
      <c r="G1194">
        <v>74</v>
      </c>
      <c r="H1194">
        <v>794</v>
      </c>
      <c r="I1194">
        <v>2.4570024570024569</v>
      </c>
      <c r="J1194">
        <v>97.54299754299754</v>
      </c>
      <c r="K1194" t="str">
        <f>_xlfn.XLOOKUP(tblProduction[[#This Row],[Product]],tblProducts[Product],tblProducts[Category],"Not Found")</f>
        <v>Standard</v>
      </c>
      <c r="L1194">
        <f>_xlfn.XLOOKUP(tblProduction[[#This Row],[Product]],tblProducts[Product],tblProducts[Target_Units],"Not Found")</f>
        <v>1000</v>
      </c>
    </row>
    <row r="1195" spans="1:12" x14ac:dyDescent="0.3">
      <c r="A1195" s="1">
        <v>46157</v>
      </c>
      <c r="B1195" t="s">
        <v>15</v>
      </c>
      <c r="C1195" t="s">
        <v>10</v>
      </c>
      <c r="D1195" t="s">
        <v>14</v>
      </c>
      <c r="E1195">
        <v>781</v>
      </c>
      <c r="F1195">
        <v>25</v>
      </c>
      <c r="G1195">
        <v>42</v>
      </c>
      <c r="H1195">
        <v>756</v>
      </c>
      <c r="I1195">
        <v>3.2010243277848911</v>
      </c>
      <c r="J1195">
        <v>96.798975672215107</v>
      </c>
      <c r="K1195" t="str">
        <f>_xlfn.XLOOKUP(tblProduction[[#This Row],[Product]],tblProducts[Product],tblProducts[Category],"Not Found")</f>
        <v>Assembly</v>
      </c>
      <c r="L1195">
        <f>_xlfn.XLOOKUP(tblProduction[[#This Row],[Product]],tblProducts[Product],tblProducts[Target_Units],"Not Found")</f>
        <v>850</v>
      </c>
    </row>
    <row r="1196" spans="1:12" x14ac:dyDescent="0.3">
      <c r="A1196" s="1">
        <v>46157</v>
      </c>
      <c r="B1196" t="s">
        <v>15</v>
      </c>
      <c r="C1196" t="s">
        <v>12</v>
      </c>
      <c r="D1196" t="s">
        <v>14</v>
      </c>
      <c r="E1196">
        <v>716</v>
      </c>
      <c r="F1196">
        <v>23</v>
      </c>
      <c r="G1196">
        <v>74</v>
      </c>
      <c r="H1196">
        <v>693</v>
      </c>
      <c r="I1196">
        <v>3.2122905027932962</v>
      </c>
      <c r="J1196">
        <v>96.787709497206706</v>
      </c>
      <c r="K1196" t="str">
        <f>_xlfn.XLOOKUP(tblProduction[[#This Row],[Product]],tblProducts[Product],tblProducts[Category],"Not Found")</f>
        <v>Assembly</v>
      </c>
      <c r="L1196">
        <f>_xlfn.XLOOKUP(tblProduction[[#This Row],[Product]],tblProducts[Product],tblProducts[Target_Units],"Not Found")</f>
        <v>850</v>
      </c>
    </row>
    <row r="1197" spans="1:12" x14ac:dyDescent="0.3">
      <c r="A1197" s="1">
        <v>46157</v>
      </c>
      <c r="B1197" t="s">
        <v>15</v>
      </c>
      <c r="C1197" t="s">
        <v>13</v>
      </c>
      <c r="D1197" t="s">
        <v>18</v>
      </c>
      <c r="E1197">
        <v>671</v>
      </c>
      <c r="F1197">
        <v>23</v>
      </c>
      <c r="G1197">
        <v>75</v>
      </c>
      <c r="H1197">
        <v>648</v>
      </c>
      <c r="I1197">
        <v>3.427719821162444</v>
      </c>
      <c r="J1197">
        <v>96.572280178837559</v>
      </c>
      <c r="K1197" t="str">
        <f>_xlfn.XLOOKUP(tblProduction[[#This Row],[Product]],tblProducts[Product],tblProducts[Category],"Not Found")</f>
        <v>Assembly</v>
      </c>
      <c r="L1197">
        <f>_xlfn.XLOOKUP(tblProduction[[#This Row],[Product]],tblProducts[Product],tblProducts[Target_Units],"Not Found")</f>
        <v>900</v>
      </c>
    </row>
    <row r="1198" spans="1:12" x14ac:dyDescent="0.3">
      <c r="A1198" s="1">
        <v>46157</v>
      </c>
      <c r="B1198" t="s">
        <v>17</v>
      </c>
      <c r="C1198" t="s">
        <v>10</v>
      </c>
      <c r="D1198" t="s">
        <v>11</v>
      </c>
      <c r="E1198">
        <v>812</v>
      </c>
      <c r="F1198">
        <v>28</v>
      </c>
      <c r="G1198">
        <v>46</v>
      </c>
      <c r="H1198">
        <v>784</v>
      </c>
      <c r="I1198">
        <v>3.4482758620689649</v>
      </c>
      <c r="J1198">
        <v>96.551724137931032</v>
      </c>
      <c r="K1198" t="str">
        <f>_xlfn.XLOOKUP(tblProduction[[#This Row],[Product]],tblProducts[Product],tblProducts[Category],"Not Found")</f>
        <v>Precision</v>
      </c>
      <c r="L1198">
        <f>_xlfn.XLOOKUP(tblProduction[[#This Row],[Product]],tblProducts[Product],tblProducts[Target_Units],"Not Found")</f>
        <v>950</v>
      </c>
    </row>
    <row r="1199" spans="1:12" x14ac:dyDescent="0.3">
      <c r="A1199" s="1">
        <v>46157</v>
      </c>
      <c r="B1199" t="s">
        <v>17</v>
      </c>
      <c r="C1199" t="s">
        <v>12</v>
      </c>
      <c r="D1199" t="s">
        <v>18</v>
      </c>
      <c r="E1199">
        <v>741</v>
      </c>
      <c r="F1199">
        <v>25</v>
      </c>
      <c r="G1199">
        <v>45</v>
      </c>
      <c r="H1199">
        <v>716</v>
      </c>
      <c r="I1199">
        <v>3.3738191632928469</v>
      </c>
      <c r="J1199">
        <v>96.62618083670715</v>
      </c>
      <c r="K1199" t="str">
        <f>_xlfn.XLOOKUP(tblProduction[[#This Row],[Product]],tblProducts[Product],tblProducts[Category],"Not Found")</f>
        <v>Assembly</v>
      </c>
      <c r="L1199">
        <f>_xlfn.XLOOKUP(tblProduction[[#This Row],[Product]],tblProducts[Product],tblProducts[Target_Units],"Not Found")</f>
        <v>900</v>
      </c>
    </row>
    <row r="1200" spans="1:12" x14ac:dyDescent="0.3">
      <c r="A1200" s="1">
        <v>46158</v>
      </c>
      <c r="B1200" t="s">
        <v>9</v>
      </c>
      <c r="C1200" t="s">
        <v>10</v>
      </c>
      <c r="D1200" t="s">
        <v>18</v>
      </c>
      <c r="E1200">
        <v>1005</v>
      </c>
      <c r="F1200">
        <v>15</v>
      </c>
      <c r="G1200">
        <v>8</v>
      </c>
      <c r="H1200">
        <v>990</v>
      </c>
      <c r="I1200">
        <v>1.4925373134328359</v>
      </c>
      <c r="J1200">
        <v>98.507462686567166</v>
      </c>
      <c r="K1200" t="str">
        <f>_xlfn.XLOOKUP(tblProduction[[#This Row],[Product]],tblProducts[Product],tblProducts[Category],"Not Found")</f>
        <v>Assembly</v>
      </c>
      <c r="L1200">
        <f>_xlfn.XLOOKUP(tblProduction[[#This Row],[Product]],tblProducts[Product],tblProducts[Target_Units],"Not Found")</f>
        <v>900</v>
      </c>
    </row>
    <row r="1201" spans="1:12" x14ac:dyDescent="0.3">
      <c r="A1201" s="1">
        <v>46158</v>
      </c>
      <c r="B1201" t="s">
        <v>9</v>
      </c>
      <c r="C1201" t="s">
        <v>12</v>
      </c>
      <c r="D1201" t="s">
        <v>14</v>
      </c>
      <c r="E1201">
        <v>920</v>
      </c>
      <c r="F1201">
        <v>21</v>
      </c>
      <c r="G1201">
        <v>5</v>
      </c>
      <c r="H1201">
        <v>899</v>
      </c>
      <c r="I1201">
        <v>2.2826086956521738</v>
      </c>
      <c r="J1201">
        <v>97.717391304347828</v>
      </c>
      <c r="K1201" t="str">
        <f>_xlfn.XLOOKUP(tblProduction[[#This Row],[Product]],tblProducts[Product],tblProducts[Category],"Not Found")</f>
        <v>Assembly</v>
      </c>
      <c r="L1201">
        <f>_xlfn.XLOOKUP(tblProduction[[#This Row],[Product]],tblProducts[Product],tblProducts[Target_Units],"Not Found")</f>
        <v>850</v>
      </c>
    </row>
    <row r="1202" spans="1:12" x14ac:dyDescent="0.3">
      <c r="A1202" s="1">
        <v>46158</v>
      </c>
      <c r="B1202" t="s">
        <v>9</v>
      </c>
      <c r="C1202" t="s">
        <v>13</v>
      </c>
      <c r="D1202" t="s">
        <v>11</v>
      </c>
      <c r="E1202">
        <v>888</v>
      </c>
      <c r="F1202">
        <v>22</v>
      </c>
      <c r="G1202">
        <v>41</v>
      </c>
      <c r="H1202">
        <v>866</v>
      </c>
      <c r="I1202">
        <v>2.477477477477477</v>
      </c>
      <c r="J1202">
        <v>97.522522522522522</v>
      </c>
      <c r="K1202" t="str">
        <f>_xlfn.XLOOKUP(tblProduction[[#This Row],[Product]],tblProducts[Product],tblProducts[Category],"Not Found")</f>
        <v>Precision</v>
      </c>
      <c r="L1202">
        <f>_xlfn.XLOOKUP(tblProduction[[#This Row],[Product]],tblProducts[Product],tblProducts[Target_Units],"Not Found")</f>
        <v>950</v>
      </c>
    </row>
    <row r="1203" spans="1:12" x14ac:dyDescent="0.3">
      <c r="A1203" s="1">
        <v>46158</v>
      </c>
      <c r="B1203" t="s">
        <v>15</v>
      </c>
      <c r="C1203" t="s">
        <v>10</v>
      </c>
      <c r="D1203" t="s">
        <v>18</v>
      </c>
      <c r="E1203">
        <v>868</v>
      </c>
      <c r="F1203">
        <v>21</v>
      </c>
      <c r="G1203">
        <v>31</v>
      </c>
      <c r="H1203">
        <v>847</v>
      </c>
      <c r="I1203">
        <v>2.419354838709677</v>
      </c>
      <c r="J1203">
        <v>97.58064516129032</v>
      </c>
      <c r="K1203" t="str">
        <f>_xlfn.XLOOKUP(tblProduction[[#This Row],[Product]],tblProducts[Product],tblProducts[Category],"Not Found")</f>
        <v>Assembly</v>
      </c>
      <c r="L1203">
        <f>_xlfn.XLOOKUP(tblProduction[[#This Row],[Product]],tblProducts[Product],tblProducts[Target_Units],"Not Found")</f>
        <v>900</v>
      </c>
    </row>
    <row r="1204" spans="1:12" x14ac:dyDescent="0.3">
      <c r="A1204" s="1">
        <v>46158</v>
      </c>
      <c r="B1204" t="s">
        <v>15</v>
      </c>
      <c r="C1204" t="s">
        <v>12</v>
      </c>
      <c r="D1204" t="s">
        <v>18</v>
      </c>
      <c r="E1204">
        <v>859</v>
      </c>
      <c r="F1204">
        <v>21</v>
      </c>
      <c r="G1204">
        <v>24</v>
      </c>
      <c r="H1204">
        <v>838</v>
      </c>
      <c r="I1204">
        <v>2.4447031431897561</v>
      </c>
      <c r="J1204">
        <v>97.555296856810244</v>
      </c>
      <c r="K1204" t="str">
        <f>_xlfn.XLOOKUP(tblProduction[[#This Row],[Product]],tblProducts[Product],tblProducts[Category],"Not Found")</f>
        <v>Assembly</v>
      </c>
      <c r="L1204">
        <f>_xlfn.XLOOKUP(tblProduction[[#This Row],[Product]],tblProducts[Product],tblProducts[Target_Units],"Not Found")</f>
        <v>900</v>
      </c>
    </row>
    <row r="1205" spans="1:12" x14ac:dyDescent="0.3">
      <c r="A1205" s="1">
        <v>46158</v>
      </c>
      <c r="B1205" t="s">
        <v>15</v>
      </c>
      <c r="C1205" t="s">
        <v>13</v>
      </c>
      <c r="D1205" t="s">
        <v>14</v>
      </c>
      <c r="E1205">
        <v>678</v>
      </c>
      <c r="F1205">
        <v>29</v>
      </c>
      <c r="G1205">
        <v>49</v>
      </c>
      <c r="H1205">
        <v>649</v>
      </c>
      <c r="I1205">
        <v>4.277286135693215</v>
      </c>
      <c r="J1205">
        <v>95.722713864306783</v>
      </c>
      <c r="K1205" t="str">
        <f>_xlfn.XLOOKUP(tblProduction[[#This Row],[Product]],tblProducts[Product],tblProducts[Category],"Not Found")</f>
        <v>Assembly</v>
      </c>
      <c r="L1205">
        <f>_xlfn.XLOOKUP(tblProduction[[#This Row],[Product]],tblProducts[Product],tblProducts[Target_Units],"Not Found")</f>
        <v>850</v>
      </c>
    </row>
    <row r="1206" spans="1:12" x14ac:dyDescent="0.3">
      <c r="A1206" s="1">
        <v>46158</v>
      </c>
      <c r="B1206" t="s">
        <v>17</v>
      </c>
      <c r="C1206" t="s">
        <v>10</v>
      </c>
      <c r="D1206" t="s">
        <v>18</v>
      </c>
      <c r="E1206">
        <v>755</v>
      </c>
      <c r="F1206">
        <v>26</v>
      </c>
      <c r="G1206">
        <v>47</v>
      </c>
      <c r="H1206">
        <v>729</v>
      </c>
      <c r="I1206">
        <v>3.443708609271523</v>
      </c>
      <c r="J1206">
        <v>96.556291390728475</v>
      </c>
      <c r="K1206" t="str">
        <f>_xlfn.XLOOKUP(tblProduction[[#This Row],[Product]],tblProducts[Product],tblProducts[Category],"Not Found")</f>
        <v>Assembly</v>
      </c>
      <c r="L1206">
        <f>_xlfn.XLOOKUP(tblProduction[[#This Row],[Product]],tblProducts[Product],tblProducts[Target_Units],"Not Found")</f>
        <v>900</v>
      </c>
    </row>
    <row r="1207" spans="1:12" x14ac:dyDescent="0.3">
      <c r="A1207" s="1">
        <v>46158</v>
      </c>
      <c r="B1207" t="s">
        <v>17</v>
      </c>
      <c r="C1207" t="s">
        <v>12</v>
      </c>
      <c r="D1207" t="s">
        <v>18</v>
      </c>
      <c r="E1207">
        <v>711</v>
      </c>
      <c r="F1207">
        <v>24</v>
      </c>
      <c r="G1207">
        <v>56</v>
      </c>
      <c r="H1207">
        <v>687</v>
      </c>
      <c r="I1207">
        <v>3.3755274261603372</v>
      </c>
      <c r="J1207">
        <v>96.624472573839654</v>
      </c>
      <c r="K1207" t="str">
        <f>_xlfn.XLOOKUP(tblProduction[[#This Row],[Product]],tblProducts[Product],tblProducts[Category],"Not Found")</f>
        <v>Assembly</v>
      </c>
      <c r="L1207">
        <f>_xlfn.XLOOKUP(tblProduction[[#This Row],[Product]],tblProducts[Product],tblProducts[Target_Units],"Not Found")</f>
        <v>900</v>
      </c>
    </row>
    <row r="1208" spans="1:12" x14ac:dyDescent="0.3">
      <c r="A1208" s="1">
        <v>46158</v>
      </c>
      <c r="B1208" t="s">
        <v>17</v>
      </c>
      <c r="C1208" t="s">
        <v>13</v>
      </c>
      <c r="D1208" t="s">
        <v>14</v>
      </c>
      <c r="E1208">
        <v>607</v>
      </c>
      <c r="F1208">
        <v>32</v>
      </c>
      <c r="G1208">
        <v>81</v>
      </c>
      <c r="H1208">
        <v>575</v>
      </c>
      <c r="I1208">
        <v>5.2718286655683686</v>
      </c>
      <c r="J1208">
        <v>94.728171334431636</v>
      </c>
      <c r="K1208" t="str">
        <f>_xlfn.XLOOKUP(tblProduction[[#This Row],[Product]],tblProducts[Product],tblProducts[Category],"Not Found")</f>
        <v>Assembly</v>
      </c>
      <c r="L1208">
        <f>_xlfn.XLOOKUP(tblProduction[[#This Row],[Product]],tblProducts[Product],tblProducts[Target_Units],"Not Found")</f>
        <v>850</v>
      </c>
    </row>
    <row r="1209" spans="1:12" x14ac:dyDescent="0.3">
      <c r="A1209" s="1">
        <v>46159</v>
      </c>
      <c r="B1209" t="s">
        <v>9</v>
      </c>
      <c r="C1209" t="s">
        <v>10</v>
      </c>
      <c r="D1209" t="s">
        <v>16</v>
      </c>
      <c r="E1209">
        <v>1060</v>
      </c>
      <c r="F1209">
        <v>15</v>
      </c>
      <c r="G1209">
        <v>18</v>
      </c>
      <c r="H1209">
        <v>1045</v>
      </c>
      <c r="I1209">
        <v>1.4150943396226421</v>
      </c>
      <c r="J1209">
        <v>98.584905660377359</v>
      </c>
      <c r="K1209" t="str">
        <f>_xlfn.XLOOKUP(tblProduction[[#This Row],[Product]],tblProducts[Product],tblProducts[Category],"Not Found")</f>
        <v>Standard</v>
      </c>
      <c r="L1209">
        <f>_xlfn.XLOOKUP(tblProduction[[#This Row],[Product]],tblProducts[Product],tblProducts[Target_Units],"Not Found")</f>
        <v>1000</v>
      </c>
    </row>
    <row r="1210" spans="1:12" x14ac:dyDescent="0.3">
      <c r="A1210" s="1">
        <v>46159</v>
      </c>
      <c r="B1210" t="s">
        <v>9</v>
      </c>
      <c r="C1210" t="s">
        <v>12</v>
      </c>
      <c r="D1210" t="s">
        <v>16</v>
      </c>
      <c r="E1210">
        <v>891</v>
      </c>
      <c r="F1210">
        <v>13</v>
      </c>
      <c r="G1210">
        <v>69</v>
      </c>
      <c r="H1210">
        <v>878</v>
      </c>
      <c r="I1210">
        <v>1.4590347923681259</v>
      </c>
      <c r="J1210">
        <v>98.540965207631871</v>
      </c>
      <c r="K1210" t="str">
        <f>_xlfn.XLOOKUP(tblProduction[[#This Row],[Product]],tblProducts[Product],tblProducts[Category],"Not Found")</f>
        <v>Standard</v>
      </c>
      <c r="L1210">
        <f>_xlfn.XLOOKUP(tblProduction[[#This Row],[Product]],tblProducts[Product],tblProducts[Target_Units],"Not Found")</f>
        <v>1000</v>
      </c>
    </row>
    <row r="1211" spans="1:12" x14ac:dyDescent="0.3">
      <c r="A1211" s="1">
        <v>46159</v>
      </c>
      <c r="B1211" t="s">
        <v>9</v>
      </c>
      <c r="C1211" t="s">
        <v>13</v>
      </c>
      <c r="D1211" t="s">
        <v>14</v>
      </c>
      <c r="E1211">
        <v>793</v>
      </c>
      <c r="F1211">
        <v>26</v>
      </c>
      <c r="G1211">
        <v>33</v>
      </c>
      <c r="H1211">
        <v>767</v>
      </c>
      <c r="I1211">
        <v>3.278688524590164</v>
      </c>
      <c r="J1211">
        <v>96.721311475409834</v>
      </c>
      <c r="K1211" t="str">
        <f>_xlfn.XLOOKUP(tblProduction[[#This Row],[Product]],tblProducts[Product],tblProducts[Category],"Not Found")</f>
        <v>Assembly</v>
      </c>
      <c r="L1211">
        <f>_xlfn.XLOOKUP(tblProduction[[#This Row],[Product]],tblProducts[Product],tblProducts[Target_Units],"Not Found")</f>
        <v>850</v>
      </c>
    </row>
    <row r="1212" spans="1:12" x14ac:dyDescent="0.3">
      <c r="A1212" s="1">
        <v>46159</v>
      </c>
      <c r="B1212" t="s">
        <v>15</v>
      </c>
      <c r="C1212" t="s">
        <v>10</v>
      </c>
      <c r="D1212" t="s">
        <v>16</v>
      </c>
      <c r="E1212">
        <v>978</v>
      </c>
      <c r="F1212">
        <v>24</v>
      </c>
      <c r="G1212">
        <v>0</v>
      </c>
      <c r="H1212">
        <v>954</v>
      </c>
      <c r="I1212">
        <v>2.4539877300613502</v>
      </c>
      <c r="J1212">
        <v>97.546012269938657</v>
      </c>
      <c r="K1212" t="str">
        <f>_xlfn.XLOOKUP(tblProduction[[#This Row],[Product]],tblProducts[Product],tblProducts[Category],"Not Found")</f>
        <v>Standard</v>
      </c>
      <c r="L1212">
        <f>_xlfn.XLOOKUP(tblProduction[[#This Row],[Product]],tblProducts[Product],tblProducts[Target_Units],"Not Found")</f>
        <v>1000</v>
      </c>
    </row>
    <row r="1213" spans="1:12" x14ac:dyDescent="0.3">
      <c r="A1213" s="1">
        <v>46159</v>
      </c>
      <c r="B1213" t="s">
        <v>15</v>
      </c>
      <c r="C1213" t="s">
        <v>12</v>
      </c>
      <c r="D1213" t="s">
        <v>11</v>
      </c>
      <c r="E1213">
        <v>876</v>
      </c>
      <c r="F1213">
        <v>21</v>
      </c>
      <c r="G1213">
        <v>13</v>
      </c>
      <c r="H1213">
        <v>855</v>
      </c>
      <c r="I1213">
        <v>2.397260273972603</v>
      </c>
      <c r="J1213">
        <v>97.602739726027394</v>
      </c>
      <c r="K1213" t="str">
        <f>_xlfn.XLOOKUP(tblProduction[[#This Row],[Product]],tblProducts[Product],tblProducts[Category],"Not Found")</f>
        <v>Precision</v>
      </c>
      <c r="L1213">
        <f>_xlfn.XLOOKUP(tblProduction[[#This Row],[Product]],tblProducts[Product],tblProducts[Target_Units],"Not Found")</f>
        <v>950</v>
      </c>
    </row>
    <row r="1214" spans="1:12" x14ac:dyDescent="0.3">
      <c r="A1214" s="1">
        <v>46159</v>
      </c>
      <c r="B1214" t="s">
        <v>15</v>
      </c>
      <c r="C1214" t="s">
        <v>13</v>
      </c>
      <c r="D1214" t="s">
        <v>18</v>
      </c>
      <c r="E1214">
        <v>671</v>
      </c>
      <c r="F1214">
        <v>23</v>
      </c>
      <c r="G1214">
        <v>87</v>
      </c>
      <c r="H1214">
        <v>648</v>
      </c>
      <c r="I1214">
        <v>3.427719821162444</v>
      </c>
      <c r="J1214">
        <v>96.572280178837559</v>
      </c>
      <c r="K1214" t="str">
        <f>_xlfn.XLOOKUP(tblProduction[[#This Row],[Product]],tblProducts[Product],tblProducts[Category],"Not Found")</f>
        <v>Assembly</v>
      </c>
      <c r="L1214">
        <f>_xlfn.XLOOKUP(tblProduction[[#This Row],[Product]],tblProducts[Product],tblProducts[Target_Units],"Not Found")</f>
        <v>900</v>
      </c>
    </row>
    <row r="1215" spans="1:12" x14ac:dyDescent="0.3">
      <c r="A1215" s="1">
        <v>46159</v>
      </c>
      <c r="B1215" t="s">
        <v>17</v>
      </c>
      <c r="C1215" t="s">
        <v>10</v>
      </c>
      <c r="D1215" t="s">
        <v>14</v>
      </c>
      <c r="E1215">
        <v>739</v>
      </c>
      <c r="F1215">
        <v>31</v>
      </c>
      <c r="G1215">
        <v>13</v>
      </c>
      <c r="H1215">
        <v>708</v>
      </c>
      <c r="I1215">
        <v>4.1948579161028423</v>
      </c>
      <c r="J1215">
        <v>95.805142083897152</v>
      </c>
      <c r="K1215" t="str">
        <f>_xlfn.XLOOKUP(tblProduction[[#This Row],[Product]],tblProducts[Product],tblProducts[Category],"Not Found")</f>
        <v>Assembly</v>
      </c>
      <c r="L1215">
        <f>_xlfn.XLOOKUP(tblProduction[[#This Row],[Product]],tblProducts[Product],tblProducts[Target_Units],"Not Found")</f>
        <v>850</v>
      </c>
    </row>
    <row r="1216" spans="1:12" x14ac:dyDescent="0.3">
      <c r="A1216" s="1">
        <v>46159</v>
      </c>
      <c r="B1216" t="s">
        <v>17</v>
      </c>
      <c r="C1216" t="s">
        <v>12</v>
      </c>
      <c r="D1216" t="s">
        <v>18</v>
      </c>
      <c r="E1216">
        <v>719</v>
      </c>
      <c r="F1216">
        <v>25</v>
      </c>
      <c r="G1216">
        <v>65</v>
      </c>
      <c r="H1216">
        <v>694</v>
      </c>
      <c r="I1216">
        <v>3.4770514603616132</v>
      </c>
      <c r="J1216">
        <v>96.522948539638392</v>
      </c>
      <c r="K1216" t="str">
        <f>_xlfn.XLOOKUP(tblProduction[[#This Row],[Product]],tblProducts[Product],tblProducts[Category],"Not Found")</f>
        <v>Assembly</v>
      </c>
      <c r="L1216">
        <f>_xlfn.XLOOKUP(tblProduction[[#This Row],[Product]],tblProducts[Product],tblProducts[Target_Units],"Not Found")</f>
        <v>900</v>
      </c>
    </row>
    <row r="1217" spans="1:12" x14ac:dyDescent="0.3">
      <c r="A1217" s="1">
        <v>46159</v>
      </c>
      <c r="B1217" t="s">
        <v>17</v>
      </c>
      <c r="C1217" t="s">
        <v>13</v>
      </c>
      <c r="D1217" t="s">
        <v>11</v>
      </c>
      <c r="E1217">
        <v>687</v>
      </c>
      <c r="F1217">
        <v>30</v>
      </c>
      <c r="G1217">
        <v>65</v>
      </c>
      <c r="H1217">
        <v>657</v>
      </c>
      <c r="I1217">
        <v>4.3668122270742353</v>
      </c>
      <c r="J1217">
        <v>95.633187772925766</v>
      </c>
      <c r="K1217" t="str">
        <f>_xlfn.XLOOKUP(tblProduction[[#This Row],[Product]],tblProducts[Product],tblProducts[Category],"Not Found")</f>
        <v>Precision</v>
      </c>
      <c r="L1217">
        <f>_xlfn.XLOOKUP(tblProduction[[#This Row],[Product]],tblProducts[Product],tblProducts[Target_Units],"Not Found")</f>
        <v>950</v>
      </c>
    </row>
    <row r="1218" spans="1:12" x14ac:dyDescent="0.3">
      <c r="A1218" s="1">
        <v>46160</v>
      </c>
      <c r="B1218" t="s">
        <v>9</v>
      </c>
      <c r="C1218" t="s">
        <v>10</v>
      </c>
      <c r="D1218" t="s">
        <v>18</v>
      </c>
      <c r="E1218">
        <v>916</v>
      </c>
      <c r="F1218">
        <v>13</v>
      </c>
      <c r="G1218">
        <v>58</v>
      </c>
      <c r="H1218">
        <v>903</v>
      </c>
      <c r="I1218">
        <v>1.4192139737991269</v>
      </c>
      <c r="J1218">
        <v>98.580786026200869</v>
      </c>
      <c r="K1218" t="str">
        <f>_xlfn.XLOOKUP(tblProduction[[#This Row],[Product]],tblProducts[Product],tblProducts[Category],"Not Found")</f>
        <v>Assembly</v>
      </c>
      <c r="L1218">
        <f>_xlfn.XLOOKUP(tblProduction[[#This Row],[Product]],tblProducts[Product],tblProducts[Target_Units],"Not Found")</f>
        <v>900</v>
      </c>
    </row>
    <row r="1219" spans="1:12" x14ac:dyDescent="0.3">
      <c r="A1219" s="1">
        <v>46160</v>
      </c>
      <c r="B1219" t="s">
        <v>9</v>
      </c>
      <c r="C1219" t="s">
        <v>12</v>
      </c>
      <c r="D1219" t="s">
        <v>11</v>
      </c>
      <c r="E1219">
        <v>913</v>
      </c>
      <c r="F1219">
        <v>13</v>
      </c>
      <c r="G1219">
        <v>61</v>
      </c>
      <c r="H1219">
        <v>900</v>
      </c>
      <c r="I1219">
        <v>1.4238773274917851</v>
      </c>
      <c r="J1219">
        <v>98.57612267250822</v>
      </c>
      <c r="K1219" t="str">
        <f>_xlfn.XLOOKUP(tblProduction[[#This Row],[Product]],tblProducts[Product],tblProducts[Category],"Not Found")</f>
        <v>Precision</v>
      </c>
      <c r="L1219">
        <f>_xlfn.XLOOKUP(tblProduction[[#This Row],[Product]],tblProducts[Product],tblProducts[Target_Units],"Not Found")</f>
        <v>950</v>
      </c>
    </row>
    <row r="1220" spans="1:12" x14ac:dyDescent="0.3">
      <c r="A1220" s="1">
        <v>46160</v>
      </c>
      <c r="B1220" t="s">
        <v>9</v>
      </c>
      <c r="C1220" t="s">
        <v>13</v>
      </c>
      <c r="D1220" t="s">
        <v>16</v>
      </c>
      <c r="E1220">
        <v>882</v>
      </c>
      <c r="F1220">
        <v>22</v>
      </c>
      <c r="G1220">
        <v>52</v>
      </c>
      <c r="H1220">
        <v>860</v>
      </c>
      <c r="I1220">
        <v>2.4943310657596371</v>
      </c>
      <c r="J1220">
        <v>97.505668934240362</v>
      </c>
      <c r="K1220" t="str">
        <f>_xlfn.XLOOKUP(tblProduction[[#This Row],[Product]],tblProducts[Product],tblProducts[Category],"Not Found")</f>
        <v>Standard</v>
      </c>
      <c r="L1220">
        <f>_xlfn.XLOOKUP(tblProduction[[#This Row],[Product]],tblProducts[Product],tblProducts[Target_Units],"Not Found")</f>
        <v>1000</v>
      </c>
    </row>
    <row r="1221" spans="1:12" x14ac:dyDescent="0.3">
      <c r="A1221" s="1">
        <v>46160</v>
      </c>
      <c r="B1221" t="s">
        <v>15</v>
      </c>
      <c r="C1221" t="s">
        <v>10</v>
      </c>
      <c r="D1221" t="s">
        <v>18</v>
      </c>
      <c r="E1221">
        <v>866</v>
      </c>
      <c r="F1221">
        <v>21</v>
      </c>
      <c r="G1221">
        <v>4</v>
      </c>
      <c r="H1221">
        <v>845</v>
      </c>
      <c r="I1221">
        <v>2.424942263279446</v>
      </c>
      <c r="J1221">
        <v>97.575057736720552</v>
      </c>
      <c r="K1221" t="str">
        <f>_xlfn.XLOOKUP(tblProduction[[#This Row],[Product]],tblProducts[Product],tblProducts[Category],"Not Found")</f>
        <v>Assembly</v>
      </c>
      <c r="L1221">
        <f>_xlfn.XLOOKUP(tblProduction[[#This Row],[Product]],tblProducts[Product],tblProducts[Target_Units],"Not Found")</f>
        <v>900</v>
      </c>
    </row>
    <row r="1222" spans="1:12" x14ac:dyDescent="0.3">
      <c r="A1222" s="1">
        <v>46160</v>
      </c>
      <c r="B1222" t="s">
        <v>15</v>
      </c>
      <c r="C1222" t="s">
        <v>12</v>
      </c>
      <c r="D1222" t="s">
        <v>16</v>
      </c>
      <c r="E1222">
        <v>867</v>
      </c>
      <c r="F1222">
        <v>21</v>
      </c>
      <c r="G1222">
        <v>48</v>
      </c>
      <c r="H1222">
        <v>846</v>
      </c>
      <c r="I1222">
        <v>2.422145328719723</v>
      </c>
      <c r="J1222">
        <v>97.577854671280278</v>
      </c>
      <c r="K1222" t="str">
        <f>_xlfn.XLOOKUP(tblProduction[[#This Row],[Product]],tblProducts[Product],tblProducts[Category],"Not Found")</f>
        <v>Standard</v>
      </c>
      <c r="L1222">
        <f>_xlfn.XLOOKUP(tblProduction[[#This Row],[Product]],tblProducts[Product],tblProducts[Target_Units],"Not Found")</f>
        <v>1000</v>
      </c>
    </row>
    <row r="1223" spans="1:12" x14ac:dyDescent="0.3">
      <c r="A1223" s="1">
        <v>46160</v>
      </c>
      <c r="B1223" t="s">
        <v>15</v>
      </c>
      <c r="C1223" t="s">
        <v>13</v>
      </c>
      <c r="D1223" t="s">
        <v>18</v>
      </c>
      <c r="E1223">
        <v>704</v>
      </c>
      <c r="F1223">
        <v>24</v>
      </c>
      <c r="G1223">
        <v>45</v>
      </c>
      <c r="H1223">
        <v>680</v>
      </c>
      <c r="I1223">
        <v>3.4090909090909092</v>
      </c>
      <c r="J1223">
        <v>96.590909090909093</v>
      </c>
      <c r="K1223" t="str">
        <f>_xlfn.XLOOKUP(tblProduction[[#This Row],[Product]],tblProducts[Product],tblProducts[Category],"Not Found")</f>
        <v>Assembly</v>
      </c>
      <c r="L1223">
        <f>_xlfn.XLOOKUP(tblProduction[[#This Row],[Product]],tblProducts[Product],tblProducts[Target_Units],"Not Found")</f>
        <v>900</v>
      </c>
    </row>
    <row r="1224" spans="1:12" x14ac:dyDescent="0.3">
      <c r="A1224" s="1">
        <v>46160</v>
      </c>
      <c r="B1224" t="s">
        <v>17</v>
      </c>
      <c r="C1224" t="s">
        <v>10</v>
      </c>
      <c r="D1224" t="s">
        <v>11</v>
      </c>
      <c r="E1224">
        <v>793</v>
      </c>
      <c r="F1224">
        <v>27</v>
      </c>
      <c r="G1224">
        <v>17</v>
      </c>
      <c r="H1224">
        <v>766</v>
      </c>
      <c r="I1224">
        <v>3.404791929382093</v>
      </c>
      <c r="J1224">
        <v>96.595208070617915</v>
      </c>
      <c r="K1224" t="str">
        <f>_xlfn.XLOOKUP(tblProduction[[#This Row],[Product]],tblProducts[Product],tblProducts[Category],"Not Found")</f>
        <v>Precision</v>
      </c>
      <c r="L1224">
        <f>_xlfn.XLOOKUP(tblProduction[[#This Row],[Product]],tblProducts[Product],tblProducts[Target_Units],"Not Found")</f>
        <v>950</v>
      </c>
    </row>
    <row r="1225" spans="1:12" x14ac:dyDescent="0.3">
      <c r="A1225" s="1">
        <v>46160</v>
      </c>
      <c r="B1225" t="s">
        <v>17</v>
      </c>
      <c r="C1225" t="s">
        <v>12</v>
      </c>
      <c r="D1225" t="s">
        <v>16</v>
      </c>
      <c r="E1225">
        <v>767</v>
      </c>
      <c r="F1225">
        <v>26</v>
      </c>
      <c r="G1225">
        <v>82</v>
      </c>
      <c r="H1225">
        <v>741</v>
      </c>
      <c r="I1225">
        <v>3.3898305084745761</v>
      </c>
      <c r="J1225">
        <v>96.610169491525426</v>
      </c>
      <c r="K1225" t="str">
        <f>_xlfn.XLOOKUP(tblProduction[[#This Row],[Product]],tblProducts[Product],tblProducts[Category],"Not Found")</f>
        <v>Standard</v>
      </c>
      <c r="L1225">
        <f>_xlfn.XLOOKUP(tblProduction[[#This Row],[Product]],tblProducts[Product],tblProducts[Target_Units],"Not Found")</f>
        <v>1000</v>
      </c>
    </row>
    <row r="1226" spans="1:12" x14ac:dyDescent="0.3">
      <c r="A1226" s="1">
        <v>46160</v>
      </c>
      <c r="B1226" t="s">
        <v>17</v>
      </c>
      <c r="C1226" t="s">
        <v>13</v>
      </c>
      <c r="D1226" t="s">
        <v>16</v>
      </c>
      <c r="E1226">
        <v>753</v>
      </c>
      <c r="F1226">
        <v>33</v>
      </c>
      <c r="G1226">
        <v>6</v>
      </c>
      <c r="H1226">
        <v>720</v>
      </c>
      <c r="I1226">
        <v>4.3824701195219129</v>
      </c>
      <c r="J1226">
        <v>95.617529880478088</v>
      </c>
      <c r="K1226" t="str">
        <f>_xlfn.XLOOKUP(tblProduction[[#This Row],[Product]],tblProducts[Product],tblProducts[Category],"Not Found")</f>
        <v>Standard</v>
      </c>
      <c r="L1226">
        <f>_xlfn.XLOOKUP(tblProduction[[#This Row],[Product]],tblProducts[Product],tblProducts[Target_Units],"Not Found")</f>
        <v>1000</v>
      </c>
    </row>
    <row r="1227" spans="1:12" x14ac:dyDescent="0.3">
      <c r="A1227" s="1">
        <v>46161</v>
      </c>
      <c r="B1227" t="s">
        <v>9</v>
      </c>
      <c r="C1227" t="s">
        <v>10</v>
      </c>
      <c r="D1227" t="s">
        <v>16</v>
      </c>
      <c r="E1227">
        <v>999</v>
      </c>
      <c r="F1227">
        <v>14</v>
      </c>
      <c r="G1227">
        <v>38</v>
      </c>
      <c r="H1227">
        <v>985</v>
      </c>
      <c r="I1227">
        <v>1.4014014014014009</v>
      </c>
      <c r="J1227">
        <v>98.598598598598599</v>
      </c>
      <c r="K1227" t="str">
        <f>_xlfn.XLOOKUP(tblProduction[[#This Row],[Product]],tblProducts[Product],tblProducts[Category],"Not Found")</f>
        <v>Standard</v>
      </c>
      <c r="L1227">
        <f>_xlfn.XLOOKUP(tblProduction[[#This Row],[Product]],tblProducts[Product],tblProducts[Target_Units],"Not Found")</f>
        <v>1000</v>
      </c>
    </row>
    <row r="1228" spans="1:12" x14ac:dyDescent="0.3">
      <c r="A1228" s="1">
        <v>46161</v>
      </c>
      <c r="B1228" t="s">
        <v>9</v>
      </c>
      <c r="C1228" t="s">
        <v>12</v>
      </c>
      <c r="D1228" t="s">
        <v>14</v>
      </c>
      <c r="E1228">
        <v>828</v>
      </c>
      <c r="F1228">
        <v>19</v>
      </c>
      <c r="G1228">
        <v>13</v>
      </c>
      <c r="H1228">
        <v>809</v>
      </c>
      <c r="I1228">
        <v>2.2946859903381638</v>
      </c>
      <c r="J1228">
        <v>97.705314009661834</v>
      </c>
      <c r="K1228" t="str">
        <f>_xlfn.XLOOKUP(tblProduction[[#This Row],[Product]],tblProducts[Product],tblProducts[Category],"Not Found")</f>
        <v>Assembly</v>
      </c>
      <c r="L1228">
        <f>_xlfn.XLOOKUP(tblProduction[[#This Row],[Product]],tblProducts[Product],tblProducts[Target_Units],"Not Found")</f>
        <v>850</v>
      </c>
    </row>
    <row r="1229" spans="1:12" x14ac:dyDescent="0.3">
      <c r="A1229" s="1">
        <v>46161</v>
      </c>
      <c r="B1229" t="s">
        <v>9</v>
      </c>
      <c r="C1229" t="s">
        <v>13</v>
      </c>
      <c r="D1229" t="s">
        <v>18</v>
      </c>
      <c r="E1229">
        <v>842</v>
      </c>
      <c r="F1229">
        <v>21</v>
      </c>
      <c r="G1229">
        <v>38</v>
      </c>
      <c r="H1229">
        <v>821</v>
      </c>
      <c r="I1229">
        <v>2.4940617577197148</v>
      </c>
      <c r="J1229">
        <v>97.505938242280294</v>
      </c>
      <c r="K1229" t="str">
        <f>_xlfn.XLOOKUP(tblProduction[[#This Row],[Product]],tblProducts[Product],tblProducts[Category],"Not Found")</f>
        <v>Assembly</v>
      </c>
      <c r="L1229">
        <f>_xlfn.XLOOKUP(tblProduction[[#This Row],[Product]],tblProducts[Product],tblProducts[Target_Units],"Not Found")</f>
        <v>900</v>
      </c>
    </row>
    <row r="1230" spans="1:12" x14ac:dyDescent="0.3">
      <c r="A1230" s="1">
        <v>46161</v>
      </c>
      <c r="B1230" t="s">
        <v>15</v>
      </c>
      <c r="C1230" t="s">
        <v>10</v>
      </c>
      <c r="D1230" t="s">
        <v>14</v>
      </c>
      <c r="E1230">
        <v>761</v>
      </c>
      <c r="F1230">
        <v>25</v>
      </c>
      <c r="G1230">
        <v>72</v>
      </c>
      <c r="H1230">
        <v>736</v>
      </c>
      <c r="I1230">
        <v>3.2851511169513801</v>
      </c>
      <c r="J1230">
        <v>96.714848883048617</v>
      </c>
      <c r="K1230" t="str">
        <f>_xlfn.XLOOKUP(tblProduction[[#This Row],[Product]],tblProducts[Product],tblProducts[Category],"Not Found")</f>
        <v>Assembly</v>
      </c>
      <c r="L1230">
        <f>_xlfn.XLOOKUP(tblProduction[[#This Row],[Product]],tblProducts[Product],tblProducts[Target_Units],"Not Found")</f>
        <v>850</v>
      </c>
    </row>
    <row r="1231" spans="1:12" x14ac:dyDescent="0.3">
      <c r="A1231" s="1">
        <v>46161</v>
      </c>
      <c r="B1231" t="s">
        <v>15</v>
      </c>
      <c r="C1231" t="s">
        <v>12</v>
      </c>
      <c r="D1231" t="s">
        <v>14</v>
      </c>
      <c r="E1231">
        <v>790</v>
      </c>
      <c r="F1231">
        <v>26</v>
      </c>
      <c r="G1231">
        <v>36</v>
      </c>
      <c r="H1231">
        <v>764</v>
      </c>
      <c r="I1231">
        <v>3.2911392405063289</v>
      </c>
      <c r="J1231">
        <v>96.708860759493675</v>
      </c>
      <c r="K1231" t="str">
        <f>_xlfn.XLOOKUP(tblProduction[[#This Row],[Product]],tblProducts[Product],tblProducts[Category],"Not Found")</f>
        <v>Assembly</v>
      </c>
      <c r="L1231">
        <f>_xlfn.XLOOKUP(tblProduction[[#This Row],[Product]],tblProducts[Product],tblProducts[Target_Units],"Not Found")</f>
        <v>850</v>
      </c>
    </row>
    <row r="1232" spans="1:12" x14ac:dyDescent="0.3">
      <c r="A1232" s="1">
        <v>46161</v>
      </c>
      <c r="B1232" t="s">
        <v>15</v>
      </c>
      <c r="C1232" t="s">
        <v>13</v>
      </c>
      <c r="D1232" t="s">
        <v>11</v>
      </c>
      <c r="E1232">
        <v>766</v>
      </c>
      <c r="F1232">
        <v>26</v>
      </c>
      <c r="G1232">
        <v>51</v>
      </c>
      <c r="H1232">
        <v>740</v>
      </c>
      <c r="I1232">
        <v>3.3942558746736302</v>
      </c>
      <c r="J1232">
        <v>96.605744125326382</v>
      </c>
      <c r="K1232" t="str">
        <f>_xlfn.XLOOKUP(tblProduction[[#This Row],[Product]],tblProducts[Product],tblProducts[Category],"Not Found")</f>
        <v>Precision</v>
      </c>
      <c r="L1232">
        <f>_xlfn.XLOOKUP(tblProduction[[#This Row],[Product]],tblProducts[Product],tblProducts[Target_Units],"Not Found")</f>
        <v>950</v>
      </c>
    </row>
    <row r="1233" spans="1:12" x14ac:dyDescent="0.3">
      <c r="A1233" s="1">
        <v>46161</v>
      </c>
      <c r="B1233" t="s">
        <v>17</v>
      </c>
      <c r="C1233" t="s">
        <v>10</v>
      </c>
      <c r="D1233" t="s">
        <v>14</v>
      </c>
      <c r="E1233">
        <v>661</v>
      </c>
      <c r="F1233">
        <v>28</v>
      </c>
      <c r="G1233">
        <v>88</v>
      </c>
      <c r="H1233">
        <v>633</v>
      </c>
      <c r="I1233">
        <v>4.236006051437216</v>
      </c>
      <c r="J1233">
        <v>95.763993948562785</v>
      </c>
      <c r="K1233" t="str">
        <f>_xlfn.XLOOKUP(tblProduction[[#This Row],[Product]],tblProducts[Product],tblProducts[Category],"Not Found")</f>
        <v>Assembly</v>
      </c>
      <c r="L1233">
        <f>_xlfn.XLOOKUP(tblProduction[[#This Row],[Product]],tblProducts[Product],tblProducts[Target_Units],"Not Found")</f>
        <v>850</v>
      </c>
    </row>
    <row r="1234" spans="1:12" x14ac:dyDescent="0.3">
      <c r="A1234" s="1">
        <v>46161</v>
      </c>
      <c r="B1234" t="s">
        <v>17</v>
      </c>
      <c r="C1234" t="s">
        <v>12</v>
      </c>
      <c r="D1234" t="s">
        <v>16</v>
      </c>
      <c r="E1234">
        <v>744</v>
      </c>
      <c r="F1234">
        <v>26</v>
      </c>
      <c r="G1234">
        <v>74</v>
      </c>
      <c r="H1234">
        <v>718</v>
      </c>
      <c r="I1234">
        <v>3.4946236559139781</v>
      </c>
      <c r="J1234">
        <v>96.505376344086031</v>
      </c>
      <c r="K1234" t="str">
        <f>_xlfn.XLOOKUP(tblProduction[[#This Row],[Product]],tblProducts[Product],tblProducts[Category],"Not Found")</f>
        <v>Standard</v>
      </c>
      <c r="L1234">
        <f>_xlfn.XLOOKUP(tblProduction[[#This Row],[Product]],tblProducts[Product],tblProducts[Target_Units],"Not Found")</f>
        <v>1000</v>
      </c>
    </row>
    <row r="1235" spans="1:12" x14ac:dyDescent="0.3">
      <c r="A1235" s="1">
        <v>46161</v>
      </c>
      <c r="B1235" t="s">
        <v>17</v>
      </c>
      <c r="C1235" t="s">
        <v>13</v>
      </c>
      <c r="D1235" t="s">
        <v>11</v>
      </c>
      <c r="E1235">
        <v>680</v>
      </c>
      <c r="F1235">
        <v>30</v>
      </c>
      <c r="G1235">
        <v>65</v>
      </c>
      <c r="H1235">
        <v>650</v>
      </c>
      <c r="I1235">
        <v>4.4117647058823533</v>
      </c>
      <c r="J1235">
        <v>95.588235294117652</v>
      </c>
      <c r="K1235" t="str">
        <f>_xlfn.XLOOKUP(tblProduction[[#This Row],[Product]],tblProducts[Product],tblProducts[Category],"Not Found")</f>
        <v>Precision</v>
      </c>
      <c r="L1235">
        <f>_xlfn.XLOOKUP(tblProduction[[#This Row],[Product]],tblProducts[Product],tblProducts[Target_Units],"Not Found")</f>
        <v>950</v>
      </c>
    </row>
    <row r="1236" spans="1:12" x14ac:dyDescent="0.3">
      <c r="A1236" s="1">
        <v>46162</v>
      </c>
      <c r="B1236" t="s">
        <v>9</v>
      </c>
      <c r="C1236" t="s">
        <v>10</v>
      </c>
      <c r="D1236" t="s">
        <v>16</v>
      </c>
      <c r="E1236">
        <v>1003</v>
      </c>
      <c r="F1236">
        <v>15</v>
      </c>
      <c r="G1236">
        <v>69</v>
      </c>
      <c r="H1236">
        <v>988</v>
      </c>
      <c r="I1236">
        <v>1.495513459621137</v>
      </c>
      <c r="J1236">
        <v>98.504486540378863</v>
      </c>
      <c r="K1236" t="str">
        <f>_xlfn.XLOOKUP(tblProduction[[#This Row],[Product]],tblProducts[Product],tblProducts[Category],"Not Found")</f>
        <v>Standard</v>
      </c>
      <c r="L1236">
        <f>_xlfn.XLOOKUP(tblProduction[[#This Row],[Product]],tblProducts[Product],tblProducts[Target_Units],"Not Found")</f>
        <v>1000</v>
      </c>
    </row>
    <row r="1237" spans="1:12" x14ac:dyDescent="0.3">
      <c r="A1237" s="1">
        <v>46162</v>
      </c>
      <c r="B1237" t="s">
        <v>9</v>
      </c>
      <c r="C1237" t="s">
        <v>12</v>
      </c>
      <c r="D1237" t="s">
        <v>16</v>
      </c>
      <c r="E1237">
        <v>959</v>
      </c>
      <c r="F1237">
        <v>14</v>
      </c>
      <c r="G1237">
        <v>32</v>
      </c>
      <c r="H1237">
        <v>945</v>
      </c>
      <c r="I1237">
        <v>1.4598540145985399</v>
      </c>
      <c r="J1237">
        <v>98.540145985401466</v>
      </c>
      <c r="K1237" t="str">
        <f>_xlfn.XLOOKUP(tblProduction[[#This Row],[Product]],tblProducts[Product],tblProducts[Category],"Not Found")</f>
        <v>Standard</v>
      </c>
      <c r="L1237">
        <f>_xlfn.XLOOKUP(tblProduction[[#This Row],[Product]],tblProducts[Product],tblProducts[Target_Units],"Not Found")</f>
        <v>1000</v>
      </c>
    </row>
    <row r="1238" spans="1:12" x14ac:dyDescent="0.3">
      <c r="A1238" s="1">
        <v>46162</v>
      </c>
      <c r="B1238" t="s">
        <v>9</v>
      </c>
      <c r="C1238" t="s">
        <v>13</v>
      </c>
      <c r="D1238" t="s">
        <v>18</v>
      </c>
      <c r="E1238">
        <v>815</v>
      </c>
      <c r="F1238">
        <v>20</v>
      </c>
      <c r="G1238">
        <v>31</v>
      </c>
      <c r="H1238">
        <v>795</v>
      </c>
      <c r="I1238">
        <v>2.4539877300613502</v>
      </c>
      <c r="J1238">
        <v>97.546012269938657</v>
      </c>
      <c r="K1238" t="str">
        <f>_xlfn.XLOOKUP(tblProduction[[#This Row],[Product]],tblProducts[Product],tblProducts[Category],"Not Found")</f>
        <v>Assembly</v>
      </c>
      <c r="L1238">
        <f>_xlfn.XLOOKUP(tblProduction[[#This Row],[Product]],tblProducts[Product],tblProducts[Target_Units],"Not Found")</f>
        <v>900</v>
      </c>
    </row>
    <row r="1239" spans="1:12" x14ac:dyDescent="0.3">
      <c r="A1239" s="1">
        <v>46162</v>
      </c>
      <c r="B1239" t="s">
        <v>15</v>
      </c>
      <c r="C1239" t="s">
        <v>10</v>
      </c>
      <c r="D1239" t="s">
        <v>14</v>
      </c>
      <c r="E1239">
        <v>755</v>
      </c>
      <c r="F1239">
        <v>24</v>
      </c>
      <c r="G1239">
        <v>82</v>
      </c>
      <c r="H1239">
        <v>731</v>
      </c>
      <c r="I1239">
        <v>3.1788079470198669</v>
      </c>
      <c r="J1239">
        <v>96.821192052980138</v>
      </c>
      <c r="K1239" t="str">
        <f>_xlfn.XLOOKUP(tblProduction[[#This Row],[Product]],tblProducts[Product],tblProducts[Category],"Not Found")</f>
        <v>Assembly</v>
      </c>
      <c r="L1239">
        <f>_xlfn.XLOOKUP(tblProduction[[#This Row],[Product]],tblProducts[Product],tblProducts[Target_Units],"Not Found")</f>
        <v>850</v>
      </c>
    </row>
    <row r="1240" spans="1:12" x14ac:dyDescent="0.3">
      <c r="A1240" s="1">
        <v>46162</v>
      </c>
      <c r="B1240" t="s">
        <v>15</v>
      </c>
      <c r="C1240" t="s">
        <v>12</v>
      </c>
      <c r="D1240" t="s">
        <v>14</v>
      </c>
      <c r="E1240">
        <v>806</v>
      </c>
      <c r="F1240">
        <v>26</v>
      </c>
      <c r="G1240">
        <v>1</v>
      </c>
      <c r="H1240">
        <v>780</v>
      </c>
      <c r="I1240">
        <v>3.225806451612903</v>
      </c>
      <c r="J1240">
        <v>96.774193548387103</v>
      </c>
      <c r="K1240" t="str">
        <f>_xlfn.XLOOKUP(tblProduction[[#This Row],[Product]],tblProducts[Product],tblProducts[Category],"Not Found")</f>
        <v>Assembly</v>
      </c>
      <c r="L1240">
        <f>_xlfn.XLOOKUP(tblProduction[[#This Row],[Product]],tblProducts[Product],tblProducts[Target_Units],"Not Found")</f>
        <v>850</v>
      </c>
    </row>
    <row r="1241" spans="1:12" x14ac:dyDescent="0.3">
      <c r="A1241" s="1">
        <v>46162</v>
      </c>
      <c r="B1241" t="s">
        <v>15</v>
      </c>
      <c r="C1241" t="s">
        <v>13</v>
      </c>
      <c r="D1241" t="s">
        <v>18</v>
      </c>
      <c r="E1241">
        <v>767</v>
      </c>
      <c r="F1241">
        <v>26</v>
      </c>
      <c r="G1241">
        <v>40</v>
      </c>
      <c r="H1241">
        <v>741</v>
      </c>
      <c r="I1241">
        <v>3.3898305084745761</v>
      </c>
      <c r="J1241">
        <v>96.610169491525426</v>
      </c>
      <c r="K1241" t="str">
        <f>_xlfn.XLOOKUP(tblProduction[[#This Row],[Product]],tblProducts[Product],tblProducts[Category],"Not Found")</f>
        <v>Assembly</v>
      </c>
      <c r="L1241">
        <f>_xlfn.XLOOKUP(tblProduction[[#This Row],[Product]],tblProducts[Product],tblProducts[Target_Units],"Not Found")</f>
        <v>900</v>
      </c>
    </row>
    <row r="1242" spans="1:12" x14ac:dyDescent="0.3">
      <c r="A1242" s="1">
        <v>46162</v>
      </c>
      <c r="B1242" t="s">
        <v>17</v>
      </c>
      <c r="C1242" t="s">
        <v>10</v>
      </c>
      <c r="D1242" t="s">
        <v>11</v>
      </c>
      <c r="E1242">
        <v>699</v>
      </c>
      <c r="F1242">
        <v>24</v>
      </c>
      <c r="G1242">
        <v>84</v>
      </c>
      <c r="H1242">
        <v>675</v>
      </c>
      <c r="I1242">
        <v>3.433476394849786</v>
      </c>
      <c r="J1242">
        <v>96.566523605150209</v>
      </c>
      <c r="K1242" t="str">
        <f>_xlfn.XLOOKUP(tblProduction[[#This Row],[Product]],tblProducts[Product],tblProducts[Category],"Not Found")</f>
        <v>Precision</v>
      </c>
      <c r="L1242">
        <f>_xlfn.XLOOKUP(tblProduction[[#This Row],[Product]],tblProducts[Product],tblProducts[Target_Units],"Not Found")</f>
        <v>950</v>
      </c>
    </row>
    <row r="1243" spans="1:12" x14ac:dyDescent="0.3">
      <c r="A1243" s="1">
        <v>46162</v>
      </c>
      <c r="B1243" t="s">
        <v>17</v>
      </c>
      <c r="C1243" t="s">
        <v>12</v>
      </c>
      <c r="D1243" t="s">
        <v>18</v>
      </c>
      <c r="E1243">
        <v>750</v>
      </c>
      <c r="F1243">
        <v>26</v>
      </c>
      <c r="G1243">
        <v>13</v>
      </c>
      <c r="H1243">
        <v>724</v>
      </c>
      <c r="I1243">
        <v>3.4666666666666659</v>
      </c>
      <c r="J1243">
        <v>96.533333333333331</v>
      </c>
      <c r="K1243" t="str">
        <f>_xlfn.XLOOKUP(tblProduction[[#This Row],[Product]],tblProducts[Product],tblProducts[Category],"Not Found")</f>
        <v>Assembly</v>
      </c>
      <c r="L1243">
        <f>_xlfn.XLOOKUP(tblProduction[[#This Row],[Product]],tblProducts[Product],tblProducts[Target_Units],"Not Found")</f>
        <v>900</v>
      </c>
    </row>
    <row r="1244" spans="1:12" x14ac:dyDescent="0.3">
      <c r="A1244" s="1">
        <v>46162</v>
      </c>
      <c r="B1244" t="s">
        <v>17</v>
      </c>
      <c r="C1244" t="s">
        <v>13</v>
      </c>
      <c r="D1244" t="s">
        <v>18</v>
      </c>
      <c r="E1244">
        <v>685</v>
      </c>
      <c r="F1244">
        <v>30</v>
      </c>
      <c r="G1244">
        <v>28</v>
      </c>
      <c r="H1244">
        <v>655</v>
      </c>
      <c r="I1244">
        <v>4.3795620437956204</v>
      </c>
      <c r="J1244">
        <v>95.620437956204384</v>
      </c>
      <c r="K1244" t="str">
        <f>_xlfn.XLOOKUP(tblProduction[[#This Row],[Product]],tblProducts[Product],tblProducts[Category],"Not Found")</f>
        <v>Assembly</v>
      </c>
      <c r="L1244">
        <f>_xlfn.XLOOKUP(tblProduction[[#This Row],[Product]],tblProducts[Product],tblProducts[Target_Units],"Not Found")</f>
        <v>900</v>
      </c>
    </row>
    <row r="1245" spans="1:12" x14ac:dyDescent="0.3">
      <c r="A1245" s="1">
        <v>46163</v>
      </c>
      <c r="B1245" t="s">
        <v>9</v>
      </c>
      <c r="C1245" t="s">
        <v>10</v>
      </c>
      <c r="D1245" t="s">
        <v>16</v>
      </c>
      <c r="E1245">
        <v>1113</v>
      </c>
      <c r="F1245">
        <v>16</v>
      </c>
      <c r="G1245">
        <v>11</v>
      </c>
      <c r="H1245">
        <v>1097</v>
      </c>
      <c r="I1245">
        <v>1.437556154537287</v>
      </c>
      <c r="J1245">
        <v>98.56244384546271</v>
      </c>
      <c r="K1245" t="str">
        <f>_xlfn.XLOOKUP(tblProduction[[#This Row],[Product]],tblProducts[Product],tblProducts[Category],"Not Found")</f>
        <v>Standard</v>
      </c>
      <c r="L1245">
        <f>_xlfn.XLOOKUP(tblProduction[[#This Row],[Product]],tblProducts[Product],tblProducts[Target_Units],"Not Found")</f>
        <v>1000</v>
      </c>
    </row>
    <row r="1246" spans="1:12" x14ac:dyDescent="0.3">
      <c r="A1246" s="1">
        <v>46163</v>
      </c>
      <c r="B1246" t="s">
        <v>9</v>
      </c>
      <c r="C1246" t="s">
        <v>12</v>
      </c>
      <c r="D1246" t="s">
        <v>11</v>
      </c>
      <c r="E1246">
        <v>1007</v>
      </c>
      <c r="F1246">
        <v>15</v>
      </c>
      <c r="G1246">
        <v>8</v>
      </c>
      <c r="H1246">
        <v>992</v>
      </c>
      <c r="I1246">
        <v>1.4895729890764651</v>
      </c>
      <c r="J1246">
        <v>98.510427010923536</v>
      </c>
      <c r="K1246" t="str">
        <f>_xlfn.XLOOKUP(tblProduction[[#This Row],[Product]],tblProducts[Product],tblProducts[Category],"Not Found")</f>
        <v>Precision</v>
      </c>
      <c r="L1246">
        <f>_xlfn.XLOOKUP(tblProduction[[#This Row],[Product]],tblProducts[Product],tblProducts[Target_Units],"Not Found")</f>
        <v>950</v>
      </c>
    </row>
    <row r="1247" spans="1:12" x14ac:dyDescent="0.3">
      <c r="A1247" s="1">
        <v>46163</v>
      </c>
      <c r="B1247" t="s">
        <v>9</v>
      </c>
      <c r="C1247" t="s">
        <v>13</v>
      </c>
      <c r="D1247" t="s">
        <v>18</v>
      </c>
      <c r="E1247">
        <v>798</v>
      </c>
      <c r="F1247">
        <v>19</v>
      </c>
      <c r="G1247">
        <v>57</v>
      </c>
      <c r="H1247">
        <v>779</v>
      </c>
      <c r="I1247">
        <v>2.3809523809523809</v>
      </c>
      <c r="J1247">
        <v>97.61904761904762</v>
      </c>
      <c r="K1247" t="str">
        <f>_xlfn.XLOOKUP(tblProduction[[#This Row],[Product]],tblProducts[Product],tblProducts[Category],"Not Found")</f>
        <v>Assembly</v>
      </c>
      <c r="L1247">
        <f>_xlfn.XLOOKUP(tblProduction[[#This Row],[Product]],tblProducts[Product],tblProducts[Target_Units],"Not Found")</f>
        <v>900</v>
      </c>
    </row>
    <row r="1248" spans="1:12" x14ac:dyDescent="0.3">
      <c r="A1248" s="1">
        <v>46163</v>
      </c>
      <c r="B1248" t="s">
        <v>15</v>
      </c>
      <c r="C1248" t="s">
        <v>10</v>
      </c>
      <c r="D1248" t="s">
        <v>11</v>
      </c>
      <c r="E1248">
        <v>856</v>
      </c>
      <c r="F1248">
        <v>21</v>
      </c>
      <c r="G1248">
        <v>83</v>
      </c>
      <c r="H1248">
        <v>835</v>
      </c>
      <c r="I1248">
        <v>2.4532710280373831</v>
      </c>
      <c r="J1248">
        <v>97.546728971962608</v>
      </c>
      <c r="K1248" t="str">
        <f>_xlfn.XLOOKUP(tblProduction[[#This Row],[Product]],tblProducts[Product],tblProducts[Category],"Not Found")</f>
        <v>Precision</v>
      </c>
      <c r="L1248">
        <f>_xlfn.XLOOKUP(tblProduction[[#This Row],[Product]],tblProducts[Product],tblProducts[Target_Units],"Not Found")</f>
        <v>950</v>
      </c>
    </row>
    <row r="1249" spans="1:12" x14ac:dyDescent="0.3">
      <c r="A1249" s="1">
        <v>46163</v>
      </c>
      <c r="B1249" t="s">
        <v>15</v>
      </c>
      <c r="C1249" t="s">
        <v>12</v>
      </c>
      <c r="D1249" t="s">
        <v>16</v>
      </c>
      <c r="E1249">
        <v>918</v>
      </c>
      <c r="F1249">
        <v>22</v>
      </c>
      <c r="G1249">
        <v>1</v>
      </c>
      <c r="H1249">
        <v>896</v>
      </c>
      <c r="I1249">
        <v>2.3965141612200429</v>
      </c>
      <c r="J1249">
        <v>97.60348583877996</v>
      </c>
      <c r="K1249" t="str">
        <f>_xlfn.XLOOKUP(tblProduction[[#This Row],[Product]],tblProducts[Product],tblProducts[Category],"Not Found")</f>
        <v>Standard</v>
      </c>
      <c r="L1249">
        <f>_xlfn.XLOOKUP(tblProduction[[#This Row],[Product]],tblProducts[Product],tblProducts[Target_Units],"Not Found")</f>
        <v>1000</v>
      </c>
    </row>
    <row r="1250" spans="1:12" x14ac:dyDescent="0.3">
      <c r="A1250" s="1">
        <v>46163</v>
      </c>
      <c r="B1250" t="s">
        <v>15</v>
      </c>
      <c r="C1250" t="s">
        <v>13</v>
      </c>
      <c r="D1250" t="s">
        <v>11</v>
      </c>
      <c r="E1250">
        <v>811</v>
      </c>
      <c r="F1250">
        <v>28</v>
      </c>
      <c r="G1250">
        <v>19</v>
      </c>
      <c r="H1250">
        <v>783</v>
      </c>
      <c r="I1250">
        <v>3.45252774352651</v>
      </c>
      <c r="J1250">
        <v>96.547472256473483</v>
      </c>
      <c r="K1250" t="str">
        <f>_xlfn.XLOOKUP(tblProduction[[#This Row],[Product]],tblProducts[Product],tblProducts[Category],"Not Found")</f>
        <v>Precision</v>
      </c>
      <c r="L1250">
        <f>_xlfn.XLOOKUP(tblProduction[[#This Row],[Product]],tblProducts[Product],tblProducts[Target_Units],"Not Found")</f>
        <v>950</v>
      </c>
    </row>
    <row r="1251" spans="1:12" x14ac:dyDescent="0.3">
      <c r="A1251" s="1">
        <v>46163</v>
      </c>
      <c r="B1251" t="s">
        <v>17</v>
      </c>
      <c r="C1251" t="s">
        <v>10</v>
      </c>
      <c r="D1251" t="s">
        <v>14</v>
      </c>
      <c r="E1251">
        <v>631</v>
      </c>
      <c r="F1251">
        <v>27</v>
      </c>
      <c r="G1251">
        <v>86</v>
      </c>
      <c r="H1251">
        <v>604</v>
      </c>
      <c r="I1251">
        <v>4.2789223454833598</v>
      </c>
      <c r="J1251">
        <v>95.721077654516634</v>
      </c>
      <c r="K1251" t="str">
        <f>_xlfn.XLOOKUP(tblProduction[[#This Row],[Product]],tblProducts[Product],tblProducts[Category],"Not Found")</f>
        <v>Assembly</v>
      </c>
      <c r="L1251">
        <f>_xlfn.XLOOKUP(tblProduction[[#This Row],[Product]],tblProducts[Product],tblProducts[Target_Units],"Not Found")</f>
        <v>850</v>
      </c>
    </row>
    <row r="1252" spans="1:12" x14ac:dyDescent="0.3">
      <c r="A1252" s="1">
        <v>46163</v>
      </c>
      <c r="B1252" t="s">
        <v>17</v>
      </c>
      <c r="C1252" t="s">
        <v>12</v>
      </c>
      <c r="D1252" t="s">
        <v>11</v>
      </c>
      <c r="E1252">
        <v>767</v>
      </c>
      <c r="F1252">
        <v>26</v>
      </c>
      <c r="G1252">
        <v>18</v>
      </c>
      <c r="H1252">
        <v>741</v>
      </c>
      <c r="I1252">
        <v>3.3898305084745761</v>
      </c>
      <c r="J1252">
        <v>96.610169491525426</v>
      </c>
      <c r="K1252" t="str">
        <f>_xlfn.XLOOKUP(tblProduction[[#This Row],[Product]],tblProducts[Product],tblProducts[Category],"Not Found")</f>
        <v>Precision</v>
      </c>
      <c r="L1252">
        <f>_xlfn.XLOOKUP(tblProduction[[#This Row],[Product]],tblProducts[Product],tblProducts[Target_Units],"Not Found")</f>
        <v>950</v>
      </c>
    </row>
    <row r="1253" spans="1:12" x14ac:dyDescent="0.3">
      <c r="A1253" s="1">
        <v>46163</v>
      </c>
      <c r="B1253" t="s">
        <v>9</v>
      </c>
      <c r="C1253" t="s">
        <v>13</v>
      </c>
      <c r="D1253" t="s">
        <v>14</v>
      </c>
      <c r="E1253">
        <v>613</v>
      </c>
      <c r="F1253">
        <v>32</v>
      </c>
      <c r="G1253">
        <v>32</v>
      </c>
      <c r="H1253">
        <v>581</v>
      </c>
      <c r="I1253">
        <v>5.2202283849918434</v>
      </c>
      <c r="J1253">
        <v>94.779771615008158</v>
      </c>
      <c r="K1253" t="str">
        <f>_xlfn.XLOOKUP(tblProduction[[#This Row],[Product]],tblProducts[Product],tblProducts[Category],"Not Found")</f>
        <v>Assembly</v>
      </c>
      <c r="L1253">
        <f>_xlfn.XLOOKUP(tblProduction[[#This Row],[Product]],tblProducts[Product],tblProducts[Target_Units],"Not Found")</f>
        <v>850</v>
      </c>
    </row>
    <row r="1254" spans="1:12" x14ac:dyDescent="0.3">
      <c r="A1254" s="1">
        <v>46164</v>
      </c>
      <c r="B1254" t="s">
        <v>9</v>
      </c>
      <c r="C1254" t="s">
        <v>10</v>
      </c>
      <c r="D1254" t="s">
        <v>18</v>
      </c>
      <c r="E1254">
        <v>996</v>
      </c>
      <c r="F1254">
        <v>14</v>
      </c>
      <c r="G1254">
        <v>22</v>
      </c>
      <c r="H1254">
        <v>982</v>
      </c>
      <c r="I1254">
        <v>1.4056224899598391</v>
      </c>
      <c r="J1254">
        <v>98.594377510040161</v>
      </c>
      <c r="K1254" t="str">
        <f>_xlfn.XLOOKUP(tblProduction[[#This Row],[Product]],tblProducts[Product],tblProducts[Category],"Not Found")</f>
        <v>Assembly</v>
      </c>
      <c r="L1254">
        <f>_xlfn.XLOOKUP(tblProduction[[#This Row],[Product]],tblProducts[Product],tblProducts[Target_Units],"Not Found")</f>
        <v>900</v>
      </c>
    </row>
    <row r="1255" spans="1:12" x14ac:dyDescent="0.3">
      <c r="A1255" s="1">
        <v>46164</v>
      </c>
      <c r="B1255" t="s">
        <v>9</v>
      </c>
      <c r="C1255" t="s">
        <v>12</v>
      </c>
      <c r="D1255" t="s">
        <v>18</v>
      </c>
      <c r="E1255">
        <v>847</v>
      </c>
      <c r="F1255">
        <v>12</v>
      </c>
      <c r="G1255">
        <v>54</v>
      </c>
      <c r="H1255">
        <v>835</v>
      </c>
      <c r="I1255">
        <v>1.4167650531286891</v>
      </c>
      <c r="J1255">
        <v>98.583234946871315</v>
      </c>
      <c r="K1255" t="str">
        <f>_xlfn.XLOOKUP(tblProduction[[#This Row],[Product]],tblProducts[Product],tblProducts[Category],"Not Found")</f>
        <v>Assembly</v>
      </c>
      <c r="L1255">
        <f>_xlfn.XLOOKUP(tblProduction[[#This Row],[Product]],tblProducts[Product],tblProducts[Target_Units],"Not Found")</f>
        <v>900</v>
      </c>
    </row>
    <row r="1256" spans="1:12" x14ac:dyDescent="0.3">
      <c r="A1256" s="1">
        <v>46164</v>
      </c>
      <c r="B1256" t="s">
        <v>9</v>
      </c>
      <c r="C1256" t="s">
        <v>13</v>
      </c>
      <c r="D1256" t="s">
        <v>14</v>
      </c>
      <c r="E1256">
        <v>838</v>
      </c>
      <c r="F1256">
        <v>27</v>
      </c>
      <c r="G1256">
        <v>10</v>
      </c>
      <c r="H1256">
        <v>811</v>
      </c>
      <c r="I1256">
        <v>3.2219570405727929</v>
      </c>
      <c r="J1256">
        <v>96.778042959427211</v>
      </c>
      <c r="K1256" t="str">
        <f>_xlfn.XLOOKUP(tblProduction[[#This Row],[Product]],tblProducts[Product],tblProducts[Category],"Not Found")</f>
        <v>Assembly</v>
      </c>
      <c r="L1256">
        <f>_xlfn.XLOOKUP(tblProduction[[#This Row],[Product]],tblProducts[Product],tblProducts[Target_Units],"Not Found")</f>
        <v>850</v>
      </c>
    </row>
    <row r="1257" spans="1:12" x14ac:dyDescent="0.3">
      <c r="A1257" s="1">
        <v>46164</v>
      </c>
      <c r="B1257" t="s">
        <v>15</v>
      </c>
      <c r="C1257" t="s">
        <v>10</v>
      </c>
      <c r="D1257" t="s">
        <v>14</v>
      </c>
      <c r="E1257">
        <v>784</v>
      </c>
      <c r="F1257">
        <v>25</v>
      </c>
      <c r="G1257">
        <v>18</v>
      </c>
      <c r="H1257">
        <v>759</v>
      </c>
      <c r="I1257">
        <v>3.1887755102040818</v>
      </c>
      <c r="J1257">
        <v>96.811224489795919</v>
      </c>
      <c r="K1257" t="str">
        <f>_xlfn.XLOOKUP(tblProduction[[#This Row],[Product]],tblProducts[Product],tblProducts[Category],"Not Found")</f>
        <v>Assembly</v>
      </c>
      <c r="L1257">
        <f>_xlfn.XLOOKUP(tblProduction[[#This Row],[Product]],tblProducts[Product],tblProducts[Target_Units],"Not Found")</f>
        <v>850</v>
      </c>
    </row>
    <row r="1258" spans="1:12" x14ac:dyDescent="0.3">
      <c r="A1258" s="1">
        <v>46164</v>
      </c>
      <c r="B1258" t="s">
        <v>15</v>
      </c>
      <c r="C1258" t="s">
        <v>12</v>
      </c>
      <c r="D1258" t="s">
        <v>14</v>
      </c>
      <c r="E1258">
        <v>711</v>
      </c>
      <c r="F1258">
        <v>23</v>
      </c>
      <c r="G1258">
        <v>71</v>
      </c>
      <c r="H1258">
        <v>688</v>
      </c>
      <c r="I1258">
        <v>3.2348804500703241</v>
      </c>
      <c r="J1258">
        <v>96.765119549929679</v>
      </c>
      <c r="K1258" t="str">
        <f>_xlfn.XLOOKUP(tblProduction[[#This Row],[Product]],tblProducts[Product],tblProducts[Category],"Not Found")</f>
        <v>Assembly</v>
      </c>
      <c r="L1258">
        <f>_xlfn.XLOOKUP(tblProduction[[#This Row],[Product]],tblProducts[Product],tblProducts[Target_Units],"Not Found")</f>
        <v>850</v>
      </c>
    </row>
    <row r="1259" spans="1:12" x14ac:dyDescent="0.3">
      <c r="A1259" s="1">
        <v>46164</v>
      </c>
      <c r="B1259" t="s">
        <v>15</v>
      </c>
      <c r="C1259" t="s">
        <v>13</v>
      </c>
      <c r="D1259" t="s">
        <v>18</v>
      </c>
      <c r="E1259">
        <v>653</v>
      </c>
      <c r="F1259">
        <v>22</v>
      </c>
      <c r="G1259">
        <v>90</v>
      </c>
      <c r="H1259">
        <v>631</v>
      </c>
      <c r="I1259">
        <v>3.3690658499234298</v>
      </c>
      <c r="J1259">
        <v>96.63093415007657</v>
      </c>
      <c r="K1259" t="str">
        <f>_xlfn.XLOOKUP(tblProduction[[#This Row],[Product]],tblProducts[Product],tblProducts[Category],"Not Found")</f>
        <v>Assembly</v>
      </c>
      <c r="L1259">
        <f>_xlfn.XLOOKUP(tblProduction[[#This Row],[Product]],tblProducts[Product],tblProducts[Target_Units],"Not Found")</f>
        <v>900</v>
      </c>
    </row>
    <row r="1260" spans="1:12" x14ac:dyDescent="0.3">
      <c r="A1260" s="1">
        <v>46164</v>
      </c>
      <c r="B1260" t="s">
        <v>17</v>
      </c>
      <c r="C1260" t="s">
        <v>10</v>
      </c>
      <c r="D1260" t="s">
        <v>18</v>
      </c>
      <c r="E1260">
        <v>762</v>
      </c>
      <c r="F1260">
        <v>26</v>
      </c>
      <c r="G1260">
        <v>62</v>
      </c>
      <c r="H1260">
        <v>736</v>
      </c>
      <c r="I1260">
        <v>3.4120734908136479</v>
      </c>
      <c r="J1260">
        <v>96.587926509186346</v>
      </c>
      <c r="K1260" t="str">
        <f>_xlfn.XLOOKUP(tblProduction[[#This Row],[Product]],tblProducts[Product],tblProducts[Category],"Not Found")</f>
        <v>Assembly</v>
      </c>
      <c r="L1260">
        <f>_xlfn.XLOOKUP(tblProduction[[#This Row],[Product]],tblProducts[Product],tblProducts[Target_Units],"Not Found")</f>
        <v>900</v>
      </c>
    </row>
    <row r="1261" spans="1:12" x14ac:dyDescent="0.3">
      <c r="A1261" s="1">
        <v>46164</v>
      </c>
      <c r="B1261" t="s">
        <v>17</v>
      </c>
      <c r="C1261" t="s">
        <v>12</v>
      </c>
      <c r="D1261" t="s">
        <v>18</v>
      </c>
      <c r="E1261">
        <v>720</v>
      </c>
      <c r="F1261">
        <v>25</v>
      </c>
      <c r="G1261">
        <v>13</v>
      </c>
      <c r="H1261">
        <v>695</v>
      </c>
      <c r="I1261">
        <v>3.4722222222222219</v>
      </c>
      <c r="J1261">
        <v>96.527777777777786</v>
      </c>
      <c r="K1261" t="str">
        <f>_xlfn.XLOOKUP(tblProduction[[#This Row],[Product]],tblProducts[Product],tblProducts[Category],"Not Found")</f>
        <v>Assembly</v>
      </c>
      <c r="L1261">
        <f>_xlfn.XLOOKUP(tblProduction[[#This Row],[Product]],tblProducts[Product],tblProducts[Target_Units],"Not Found")</f>
        <v>900</v>
      </c>
    </row>
    <row r="1262" spans="1:12" x14ac:dyDescent="0.3">
      <c r="A1262" s="1">
        <v>46164</v>
      </c>
      <c r="B1262" t="s">
        <v>17</v>
      </c>
      <c r="C1262" t="s">
        <v>13</v>
      </c>
      <c r="D1262" t="s">
        <v>18</v>
      </c>
      <c r="E1262">
        <v>674</v>
      </c>
      <c r="F1262">
        <v>30</v>
      </c>
      <c r="G1262">
        <v>11</v>
      </c>
      <c r="H1262">
        <v>644</v>
      </c>
      <c r="I1262">
        <v>4.4510385756676563</v>
      </c>
      <c r="J1262">
        <v>95.548961424332347</v>
      </c>
      <c r="K1262" t="str">
        <f>_xlfn.XLOOKUP(tblProduction[[#This Row],[Product]],tblProducts[Product],tblProducts[Category],"Not Found")</f>
        <v>Assembly</v>
      </c>
      <c r="L1262">
        <f>_xlfn.XLOOKUP(tblProduction[[#This Row],[Product]],tblProducts[Product],tblProducts[Target_Units],"Not Found")</f>
        <v>900</v>
      </c>
    </row>
    <row r="1263" spans="1:12" x14ac:dyDescent="0.3">
      <c r="A1263" s="1">
        <v>46165</v>
      </c>
      <c r="B1263" t="s">
        <v>9</v>
      </c>
      <c r="C1263" t="s">
        <v>10</v>
      </c>
      <c r="D1263" t="s">
        <v>16</v>
      </c>
      <c r="E1263">
        <v>1052</v>
      </c>
      <c r="F1263">
        <v>15</v>
      </c>
      <c r="G1263">
        <v>27</v>
      </c>
      <c r="H1263">
        <v>1037</v>
      </c>
      <c r="I1263">
        <v>1.4258555133079851</v>
      </c>
      <c r="J1263">
        <v>98.57414448669202</v>
      </c>
      <c r="K1263" t="str">
        <f>_xlfn.XLOOKUP(tblProduction[[#This Row],[Product]],tblProducts[Product],tblProducts[Category],"Not Found")</f>
        <v>Standard</v>
      </c>
      <c r="L1263">
        <f>_xlfn.XLOOKUP(tblProduction[[#This Row],[Product]],tblProducts[Product],tblProducts[Target_Units],"Not Found")</f>
        <v>1000</v>
      </c>
    </row>
    <row r="1264" spans="1:12" x14ac:dyDescent="0.3">
      <c r="A1264" s="1">
        <v>46165</v>
      </c>
      <c r="B1264" t="s">
        <v>9</v>
      </c>
      <c r="C1264" t="s">
        <v>12</v>
      </c>
      <c r="D1264" t="s">
        <v>18</v>
      </c>
      <c r="E1264">
        <v>791</v>
      </c>
      <c r="F1264">
        <v>11</v>
      </c>
      <c r="G1264">
        <v>88</v>
      </c>
      <c r="H1264">
        <v>780</v>
      </c>
      <c r="I1264">
        <v>1.390644753476612</v>
      </c>
      <c r="J1264">
        <v>98.609355246523393</v>
      </c>
      <c r="K1264" t="str">
        <f>_xlfn.XLOOKUP(tblProduction[[#This Row],[Product]],tblProducts[Product],tblProducts[Category],"Not Found")</f>
        <v>Assembly</v>
      </c>
      <c r="L1264">
        <f>_xlfn.XLOOKUP(tblProduction[[#This Row],[Product]],tblProducts[Product],tblProducts[Target_Units],"Not Found")</f>
        <v>900</v>
      </c>
    </row>
    <row r="1265" spans="1:12" x14ac:dyDescent="0.3">
      <c r="A1265" s="1">
        <v>46165</v>
      </c>
      <c r="B1265" t="s">
        <v>9</v>
      </c>
      <c r="C1265" t="s">
        <v>13</v>
      </c>
      <c r="D1265" t="s">
        <v>11</v>
      </c>
      <c r="E1265">
        <v>831</v>
      </c>
      <c r="F1265">
        <v>20</v>
      </c>
      <c r="G1265">
        <v>72</v>
      </c>
      <c r="H1265">
        <v>811</v>
      </c>
      <c r="I1265">
        <v>2.4067388688327318</v>
      </c>
      <c r="J1265">
        <v>97.593261131167267</v>
      </c>
      <c r="K1265" t="str">
        <f>_xlfn.XLOOKUP(tblProduction[[#This Row],[Product]],tblProducts[Product],tblProducts[Category],"Not Found")</f>
        <v>Precision</v>
      </c>
      <c r="L1265">
        <f>_xlfn.XLOOKUP(tblProduction[[#This Row],[Product]],tblProducts[Product],tblProducts[Target_Units],"Not Found")</f>
        <v>950</v>
      </c>
    </row>
    <row r="1266" spans="1:12" x14ac:dyDescent="0.3">
      <c r="A1266" s="1">
        <v>46165</v>
      </c>
      <c r="B1266" t="s">
        <v>15</v>
      </c>
      <c r="C1266" t="s">
        <v>10</v>
      </c>
      <c r="D1266" t="s">
        <v>16</v>
      </c>
      <c r="E1266">
        <v>938</v>
      </c>
      <c r="F1266">
        <v>23</v>
      </c>
      <c r="G1266">
        <v>37</v>
      </c>
      <c r="H1266">
        <v>915</v>
      </c>
      <c r="I1266">
        <v>2.452025586353944</v>
      </c>
      <c r="J1266">
        <v>97.54797441364606</v>
      </c>
      <c r="K1266" t="str">
        <f>_xlfn.XLOOKUP(tblProduction[[#This Row],[Product]],tblProducts[Product],tblProducts[Category],"Not Found")</f>
        <v>Standard</v>
      </c>
      <c r="L1266">
        <f>_xlfn.XLOOKUP(tblProduction[[#This Row],[Product]],tblProducts[Product],tblProducts[Target_Units],"Not Found")</f>
        <v>1000</v>
      </c>
    </row>
    <row r="1267" spans="1:12" x14ac:dyDescent="0.3">
      <c r="A1267" s="1">
        <v>46165</v>
      </c>
      <c r="B1267" t="s">
        <v>15</v>
      </c>
      <c r="C1267" t="s">
        <v>12</v>
      </c>
      <c r="D1267" t="s">
        <v>11</v>
      </c>
      <c r="E1267">
        <v>805</v>
      </c>
      <c r="F1267">
        <v>20</v>
      </c>
      <c r="G1267">
        <v>54</v>
      </c>
      <c r="H1267">
        <v>785</v>
      </c>
      <c r="I1267">
        <v>2.4844720496894408</v>
      </c>
      <c r="J1267">
        <v>97.515527950310556</v>
      </c>
      <c r="K1267" t="str">
        <f>_xlfn.XLOOKUP(tblProduction[[#This Row],[Product]],tblProducts[Product],tblProducts[Category],"Not Found")</f>
        <v>Precision</v>
      </c>
      <c r="L1267">
        <f>_xlfn.XLOOKUP(tblProduction[[#This Row],[Product]],tblProducts[Product],tblProducts[Target_Units],"Not Found")</f>
        <v>950</v>
      </c>
    </row>
    <row r="1268" spans="1:12" x14ac:dyDescent="0.3">
      <c r="A1268" s="1">
        <v>46165</v>
      </c>
      <c r="B1268" t="s">
        <v>15</v>
      </c>
      <c r="C1268" t="s">
        <v>13</v>
      </c>
      <c r="D1268" t="s">
        <v>18</v>
      </c>
      <c r="E1268">
        <v>752</v>
      </c>
      <c r="F1268">
        <v>26</v>
      </c>
      <c r="G1268">
        <v>53</v>
      </c>
      <c r="H1268">
        <v>726</v>
      </c>
      <c r="I1268">
        <v>3.457446808510638</v>
      </c>
      <c r="J1268">
        <v>96.542553191489361</v>
      </c>
      <c r="K1268" t="str">
        <f>_xlfn.XLOOKUP(tblProduction[[#This Row],[Product]],tblProducts[Product],tblProducts[Category],"Not Found")</f>
        <v>Assembly</v>
      </c>
      <c r="L1268">
        <f>_xlfn.XLOOKUP(tblProduction[[#This Row],[Product]],tblProducts[Product],tblProducts[Target_Units],"Not Found")</f>
        <v>900</v>
      </c>
    </row>
    <row r="1269" spans="1:12" x14ac:dyDescent="0.3">
      <c r="A1269" s="1">
        <v>46165</v>
      </c>
      <c r="B1269" t="s">
        <v>17</v>
      </c>
      <c r="C1269" t="s">
        <v>10</v>
      </c>
      <c r="D1269" t="s">
        <v>18</v>
      </c>
      <c r="E1269">
        <v>754</v>
      </c>
      <c r="F1269">
        <v>26</v>
      </c>
      <c r="G1269">
        <v>41</v>
      </c>
      <c r="H1269">
        <v>728</v>
      </c>
      <c r="I1269">
        <v>3.4482758620689649</v>
      </c>
      <c r="J1269">
        <v>96.551724137931032</v>
      </c>
      <c r="K1269" t="str">
        <f>_xlfn.XLOOKUP(tblProduction[[#This Row],[Product]],tblProducts[Product],tblProducts[Category],"Not Found")</f>
        <v>Assembly</v>
      </c>
      <c r="L1269">
        <f>_xlfn.XLOOKUP(tblProduction[[#This Row],[Product]],tblProducts[Product],tblProducts[Target_Units],"Not Found")</f>
        <v>900</v>
      </c>
    </row>
    <row r="1270" spans="1:12" x14ac:dyDescent="0.3">
      <c r="A1270" s="1">
        <v>46165</v>
      </c>
      <c r="B1270" t="s">
        <v>17</v>
      </c>
      <c r="C1270" t="s">
        <v>12</v>
      </c>
      <c r="D1270" t="s">
        <v>11</v>
      </c>
      <c r="E1270">
        <v>720</v>
      </c>
      <c r="F1270">
        <v>25</v>
      </c>
      <c r="G1270">
        <v>86</v>
      </c>
      <c r="H1270">
        <v>695</v>
      </c>
      <c r="I1270">
        <v>3.4722222222222219</v>
      </c>
      <c r="J1270">
        <v>96.527777777777786</v>
      </c>
      <c r="K1270" t="str">
        <f>_xlfn.XLOOKUP(tblProduction[[#This Row],[Product]],tblProducts[Product],tblProducts[Category],"Not Found")</f>
        <v>Precision</v>
      </c>
      <c r="L1270">
        <f>_xlfn.XLOOKUP(tblProduction[[#This Row],[Product]],tblProducts[Product],tblProducts[Target_Units],"Not Found")</f>
        <v>950</v>
      </c>
    </row>
    <row r="1271" spans="1:12" x14ac:dyDescent="0.3">
      <c r="A1271" s="1">
        <v>46165</v>
      </c>
      <c r="B1271" t="s">
        <v>17</v>
      </c>
      <c r="C1271" t="s">
        <v>13</v>
      </c>
      <c r="D1271" t="s">
        <v>14</v>
      </c>
      <c r="E1271">
        <v>681</v>
      </c>
      <c r="F1271">
        <v>36</v>
      </c>
      <c r="G1271">
        <v>13</v>
      </c>
      <c r="H1271">
        <v>645</v>
      </c>
      <c r="I1271">
        <v>5.286343612334802</v>
      </c>
      <c r="J1271">
        <v>94.713656387665196</v>
      </c>
      <c r="K1271" t="str">
        <f>_xlfn.XLOOKUP(tblProduction[[#This Row],[Product]],tblProducts[Product],tblProducts[Category],"Not Found")</f>
        <v>Assembly</v>
      </c>
      <c r="L1271">
        <f>_xlfn.XLOOKUP(tblProduction[[#This Row],[Product]],tblProducts[Product],tblProducts[Target_Units],"Not Found")</f>
        <v>850</v>
      </c>
    </row>
    <row r="1272" spans="1:12" x14ac:dyDescent="0.3">
      <c r="A1272" s="1">
        <v>46166</v>
      </c>
      <c r="B1272" t="s">
        <v>9</v>
      </c>
      <c r="C1272" t="s">
        <v>10</v>
      </c>
      <c r="D1272" t="s">
        <v>18</v>
      </c>
      <c r="E1272">
        <v>897</v>
      </c>
      <c r="F1272">
        <v>13</v>
      </c>
      <c r="G1272">
        <v>50</v>
      </c>
      <c r="H1272">
        <v>884</v>
      </c>
      <c r="I1272">
        <v>1.449275362318841</v>
      </c>
      <c r="J1272">
        <v>98.550724637681171</v>
      </c>
      <c r="K1272" t="str">
        <f>_xlfn.XLOOKUP(tblProduction[[#This Row],[Product]],tblProducts[Product],tblProducts[Category],"Not Found")</f>
        <v>Assembly</v>
      </c>
      <c r="L1272">
        <f>_xlfn.XLOOKUP(tblProduction[[#This Row],[Product]],tblProducts[Product],tblProducts[Target_Units],"Not Found")</f>
        <v>900</v>
      </c>
    </row>
    <row r="1273" spans="1:12" x14ac:dyDescent="0.3">
      <c r="A1273" s="1">
        <v>46166</v>
      </c>
      <c r="B1273" t="s">
        <v>9</v>
      </c>
      <c r="C1273" t="s">
        <v>12</v>
      </c>
      <c r="D1273" t="s">
        <v>14</v>
      </c>
      <c r="E1273">
        <v>872</v>
      </c>
      <c r="F1273">
        <v>20</v>
      </c>
      <c r="G1273">
        <v>17</v>
      </c>
      <c r="H1273">
        <v>852</v>
      </c>
      <c r="I1273">
        <v>2.2935779816513762</v>
      </c>
      <c r="J1273">
        <v>97.706422018348633</v>
      </c>
      <c r="K1273" t="str">
        <f>_xlfn.XLOOKUP(tblProduction[[#This Row],[Product]],tblProducts[Product],tblProducts[Category],"Not Found")</f>
        <v>Assembly</v>
      </c>
      <c r="L1273">
        <f>_xlfn.XLOOKUP(tblProduction[[#This Row],[Product]],tblProducts[Product],tblProducts[Target_Units],"Not Found")</f>
        <v>850</v>
      </c>
    </row>
    <row r="1274" spans="1:12" x14ac:dyDescent="0.3">
      <c r="A1274" s="1">
        <v>46166</v>
      </c>
      <c r="B1274" t="s">
        <v>9</v>
      </c>
      <c r="C1274" t="s">
        <v>13</v>
      </c>
      <c r="D1274" t="s">
        <v>16</v>
      </c>
      <c r="E1274">
        <v>896</v>
      </c>
      <c r="F1274">
        <v>22</v>
      </c>
      <c r="G1274">
        <v>47</v>
      </c>
      <c r="H1274">
        <v>874</v>
      </c>
      <c r="I1274">
        <v>2.4553571428571428</v>
      </c>
      <c r="J1274">
        <v>97.544642857142861</v>
      </c>
      <c r="K1274" t="str">
        <f>_xlfn.XLOOKUP(tblProduction[[#This Row],[Product]],tblProducts[Product],tblProducts[Category],"Not Found")</f>
        <v>Standard</v>
      </c>
      <c r="L1274">
        <f>_xlfn.XLOOKUP(tblProduction[[#This Row],[Product]],tblProducts[Product],tblProducts[Target_Units],"Not Found")</f>
        <v>1000</v>
      </c>
    </row>
    <row r="1275" spans="1:12" x14ac:dyDescent="0.3">
      <c r="A1275" s="1">
        <v>46166</v>
      </c>
      <c r="B1275" t="s">
        <v>15</v>
      </c>
      <c r="C1275" t="s">
        <v>10</v>
      </c>
      <c r="D1275" t="s">
        <v>16</v>
      </c>
      <c r="E1275">
        <v>926</v>
      </c>
      <c r="F1275">
        <v>23</v>
      </c>
      <c r="G1275">
        <v>34</v>
      </c>
      <c r="H1275">
        <v>903</v>
      </c>
      <c r="I1275">
        <v>2.483801295896328</v>
      </c>
      <c r="J1275">
        <v>97.516198704103672</v>
      </c>
      <c r="K1275" t="str">
        <f>_xlfn.XLOOKUP(tblProduction[[#This Row],[Product]],tblProducts[Product],tblProducts[Category],"Not Found")</f>
        <v>Standard</v>
      </c>
      <c r="L1275">
        <f>_xlfn.XLOOKUP(tblProduction[[#This Row],[Product]],tblProducts[Product],tblProducts[Target_Units],"Not Found")</f>
        <v>1000</v>
      </c>
    </row>
    <row r="1276" spans="1:12" x14ac:dyDescent="0.3">
      <c r="A1276" s="1">
        <v>46166</v>
      </c>
      <c r="B1276" t="s">
        <v>15</v>
      </c>
      <c r="C1276" t="s">
        <v>12</v>
      </c>
      <c r="D1276" t="s">
        <v>14</v>
      </c>
      <c r="E1276">
        <v>695</v>
      </c>
      <c r="F1276">
        <v>22</v>
      </c>
      <c r="G1276">
        <v>69</v>
      </c>
      <c r="H1276">
        <v>673</v>
      </c>
      <c r="I1276">
        <v>3.16546762589928</v>
      </c>
      <c r="J1276">
        <v>96.834532374100718</v>
      </c>
      <c r="K1276" t="str">
        <f>_xlfn.XLOOKUP(tblProduction[[#This Row],[Product]],tblProducts[Product],tblProducts[Category],"Not Found")</f>
        <v>Assembly</v>
      </c>
      <c r="L1276">
        <f>_xlfn.XLOOKUP(tblProduction[[#This Row],[Product]],tblProducts[Product],tblProducts[Target_Units],"Not Found")</f>
        <v>850</v>
      </c>
    </row>
    <row r="1277" spans="1:12" x14ac:dyDescent="0.3">
      <c r="A1277" s="1">
        <v>46166</v>
      </c>
      <c r="B1277" t="s">
        <v>15</v>
      </c>
      <c r="C1277" t="s">
        <v>13</v>
      </c>
      <c r="D1277" t="s">
        <v>11</v>
      </c>
      <c r="E1277">
        <v>732</v>
      </c>
      <c r="F1277">
        <v>25</v>
      </c>
      <c r="G1277">
        <v>72</v>
      </c>
      <c r="H1277">
        <v>707</v>
      </c>
      <c r="I1277">
        <v>3.4153005464480879</v>
      </c>
      <c r="J1277">
        <v>96.58469945355192</v>
      </c>
      <c r="K1277" t="str">
        <f>_xlfn.XLOOKUP(tblProduction[[#This Row],[Product]],tblProducts[Product],tblProducts[Category],"Not Found")</f>
        <v>Precision</v>
      </c>
      <c r="L1277">
        <f>_xlfn.XLOOKUP(tblProduction[[#This Row],[Product]],tblProducts[Product],tblProducts[Target_Units],"Not Found")</f>
        <v>950</v>
      </c>
    </row>
    <row r="1278" spans="1:12" x14ac:dyDescent="0.3">
      <c r="A1278" s="1">
        <v>46166</v>
      </c>
      <c r="B1278" t="s">
        <v>17</v>
      </c>
      <c r="C1278" t="s">
        <v>10</v>
      </c>
      <c r="D1278" t="s">
        <v>11</v>
      </c>
      <c r="E1278">
        <v>837</v>
      </c>
      <c r="F1278">
        <v>29</v>
      </c>
      <c r="G1278">
        <v>27</v>
      </c>
      <c r="H1278">
        <v>808</v>
      </c>
      <c r="I1278">
        <v>3.4647550776583032</v>
      </c>
      <c r="J1278">
        <v>96.535244922341704</v>
      </c>
      <c r="K1278" t="str">
        <f>_xlfn.XLOOKUP(tblProduction[[#This Row],[Product]],tblProducts[Product],tblProducts[Category],"Not Found")</f>
        <v>Precision</v>
      </c>
      <c r="L1278">
        <f>_xlfn.XLOOKUP(tblProduction[[#This Row],[Product]],tblProducts[Product],tblProducts[Target_Units],"Not Found")</f>
        <v>950</v>
      </c>
    </row>
    <row r="1279" spans="1:12" x14ac:dyDescent="0.3">
      <c r="A1279" s="1">
        <v>46166</v>
      </c>
      <c r="B1279" t="s">
        <v>17</v>
      </c>
      <c r="C1279" t="s">
        <v>12</v>
      </c>
      <c r="D1279" t="s">
        <v>16</v>
      </c>
      <c r="E1279">
        <v>779</v>
      </c>
      <c r="F1279">
        <v>27</v>
      </c>
      <c r="G1279">
        <v>41</v>
      </c>
      <c r="H1279">
        <v>752</v>
      </c>
      <c r="I1279">
        <v>3.4659820282413349</v>
      </c>
      <c r="J1279">
        <v>96.534017971758672</v>
      </c>
      <c r="K1279" t="str">
        <f>_xlfn.XLOOKUP(tblProduction[[#This Row],[Product]],tblProducts[Product],tblProducts[Category],"Not Found")</f>
        <v>Standard</v>
      </c>
      <c r="L1279">
        <f>_xlfn.XLOOKUP(tblProduction[[#This Row],[Product]],tblProducts[Product],tblProducts[Target_Units],"Not Found")</f>
        <v>1000</v>
      </c>
    </row>
    <row r="1280" spans="1:12" x14ac:dyDescent="0.3">
      <c r="A1280" s="1">
        <v>46166</v>
      </c>
      <c r="B1280" t="s">
        <v>17</v>
      </c>
      <c r="C1280" t="s">
        <v>13</v>
      </c>
      <c r="D1280" t="s">
        <v>16</v>
      </c>
      <c r="E1280">
        <v>671</v>
      </c>
      <c r="F1280">
        <v>30</v>
      </c>
      <c r="G1280">
        <v>84</v>
      </c>
      <c r="H1280">
        <v>641</v>
      </c>
      <c r="I1280">
        <v>4.4709388971684056</v>
      </c>
      <c r="J1280">
        <v>95.529061102831591</v>
      </c>
      <c r="K1280" t="str">
        <f>_xlfn.XLOOKUP(tblProduction[[#This Row],[Product]],tblProducts[Product],tblProducts[Category],"Not Found")</f>
        <v>Standard</v>
      </c>
      <c r="L1280">
        <f>_xlfn.XLOOKUP(tblProduction[[#This Row],[Product]],tblProducts[Product],tblProducts[Target_Units],"Not Found")</f>
        <v>1000</v>
      </c>
    </row>
    <row r="1281" spans="1:12" x14ac:dyDescent="0.3">
      <c r="A1281" s="1">
        <v>46167</v>
      </c>
      <c r="B1281" t="s">
        <v>9</v>
      </c>
      <c r="C1281" t="s">
        <v>10</v>
      </c>
      <c r="D1281" t="s">
        <v>16</v>
      </c>
      <c r="E1281">
        <v>1036</v>
      </c>
      <c r="F1281">
        <v>15</v>
      </c>
      <c r="G1281">
        <v>39</v>
      </c>
      <c r="H1281">
        <v>1021</v>
      </c>
      <c r="I1281">
        <v>1.4478764478764481</v>
      </c>
      <c r="J1281">
        <v>98.552123552123547</v>
      </c>
      <c r="K1281" t="str">
        <f>_xlfn.XLOOKUP(tblProduction[[#This Row],[Product]],tblProducts[Product],tblProducts[Category],"Not Found")</f>
        <v>Standard</v>
      </c>
      <c r="L1281">
        <f>_xlfn.XLOOKUP(tblProduction[[#This Row],[Product]],tblProducts[Product],tblProducts[Target_Units],"Not Found")</f>
        <v>1000</v>
      </c>
    </row>
    <row r="1282" spans="1:12" x14ac:dyDescent="0.3">
      <c r="A1282" s="1">
        <v>46167</v>
      </c>
      <c r="B1282" t="s">
        <v>9</v>
      </c>
      <c r="C1282" t="s">
        <v>12</v>
      </c>
      <c r="D1282" t="s">
        <v>14</v>
      </c>
      <c r="E1282">
        <v>796</v>
      </c>
      <c r="F1282">
        <v>18</v>
      </c>
      <c r="G1282">
        <v>82</v>
      </c>
      <c r="H1282">
        <v>778</v>
      </c>
      <c r="I1282">
        <v>2.2613065326633168</v>
      </c>
      <c r="J1282">
        <v>97.738693467336674</v>
      </c>
      <c r="K1282" t="str">
        <f>_xlfn.XLOOKUP(tblProduction[[#This Row],[Product]],tblProducts[Product],tblProducts[Category],"Not Found")</f>
        <v>Assembly</v>
      </c>
      <c r="L1282">
        <f>_xlfn.XLOOKUP(tblProduction[[#This Row],[Product]],tblProducts[Product],tblProducts[Target_Units],"Not Found")</f>
        <v>850</v>
      </c>
    </row>
    <row r="1283" spans="1:12" x14ac:dyDescent="0.3">
      <c r="A1283" s="1">
        <v>46167</v>
      </c>
      <c r="B1283" t="s">
        <v>9</v>
      </c>
      <c r="C1283" t="s">
        <v>13</v>
      </c>
      <c r="D1283" t="s">
        <v>18</v>
      </c>
      <c r="E1283">
        <v>802</v>
      </c>
      <c r="F1283">
        <v>20</v>
      </c>
      <c r="G1283">
        <v>67</v>
      </c>
      <c r="H1283">
        <v>782</v>
      </c>
      <c r="I1283">
        <v>2.4937655860349128</v>
      </c>
      <c r="J1283">
        <v>97.506234413965089</v>
      </c>
      <c r="K1283" t="str">
        <f>_xlfn.XLOOKUP(tblProduction[[#This Row],[Product]],tblProducts[Product],tblProducts[Category],"Not Found")</f>
        <v>Assembly</v>
      </c>
      <c r="L1283">
        <f>_xlfn.XLOOKUP(tblProduction[[#This Row],[Product]],tblProducts[Product],tblProducts[Target_Units],"Not Found")</f>
        <v>900</v>
      </c>
    </row>
    <row r="1284" spans="1:12" x14ac:dyDescent="0.3">
      <c r="A1284" s="1">
        <v>46167</v>
      </c>
      <c r="B1284" t="s">
        <v>15</v>
      </c>
      <c r="C1284" t="s">
        <v>10</v>
      </c>
      <c r="D1284" t="s">
        <v>18</v>
      </c>
      <c r="E1284">
        <v>785</v>
      </c>
      <c r="F1284">
        <v>19</v>
      </c>
      <c r="G1284">
        <v>49</v>
      </c>
      <c r="H1284">
        <v>766</v>
      </c>
      <c r="I1284">
        <v>2.4203821656050959</v>
      </c>
      <c r="J1284">
        <v>97.579617834394909</v>
      </c>
      <c r="K1284" t="str">
        <f>_xlfn.XLOOKUP(tblProduction[[#This Row],[Product]],tblProducts[Product],tblProducts[Category],"Not Found")</f>
        <v>Assembly</v>
      </c>
      <c r="L1284">
        <f>_xlfn.XLOOKUP(tblProduction[[#This Row],[Product]],tblProducts[Product],tblProducts[Target_Units],"Not Found")</f>
        <v>900</v>
      </c>
    </row>
    <row r="1285" spans="1:12" x14ac:dyDescent="0.3">
      <c r="A1285" s="1">
        <v>46167</v>
      </c>
      <c r="B1285" t="s">
        <v>15</v>
      </c>
      <c r="C1285" t="s">
        <v>12</v>
      </c>
      <c r="D1285" t="s">
        <v>18</v>
      </c>
      <c r="E1285">
        <v>824</v>
      </c>
      <c r="F1285">
        <v>20</v>
      </c>
      <c r="G1285">
        <v>23</v>
      </c>
      <c r="H1285">
        <v>804</v>
      </c>
      <c r="I1285">
        <v>2.4271844660194168</v>
      </c>
      <c r="J1285">
        <v>97.572815533980588</v>
      </c>
      <c r="K1285" t="str">
        <f>_xlfn.XLOOKUP(tblProduction[[#This Row],[Product]],tblProducts[Product],tblProducts[Category],"Not Found")</f>
        <v>Assembly</v>
      </c>
      <c r="L1285">
        <f>_xlfn.XLOOKUP(tblProduction[[#This Row],[Product]],tblProducts[Product],tblProducts[Target_Units],"Not Found")</f>
        <v>900</v>
      </c>
    </row>
    <row r="1286" spans="1:12" x14ac:dyDescent="0.3">
      <c r="A1286" s="1">
        <v>46167</v>
      </c>
      <c r="B1286" t="s">
        <v>15</v>
      </c>
      <c r="C1286" t="s">
        <v>13</v>
      </c>
      <c r="D1286" t="s">
        <v>14</v>
      </c>
      <c r="E1286">
        <v>672</v>
      </c>
      <c r="F1286">
        <v>28</v>
      </c>
      <c r="G1286">
        <v>37</v>
      </c>
      <c r="H1286">
        <v>644</v>
      </c>
      <c r="I1286">
        <v>4.1666666666666661</v>
      </c>
      <c r="J1286">
        <v>95.833333333333343</v>
      </c>
      <c r="K1286" t="str">
        <f>_xlfn.XLOOKUP(tblProduction[[#This Row],[Product]],tblProducts[Product],tblProducts[Category],"Not Found")</f>
        <v>Assembly</v>
      </c>
      <c r="L1286">
        <f>_xlfn.XLOOKUP(tblProduction[[#This Row],[Product]],tblProducts[Product],tblProducts[Target_Units],"Not Found")</f>
        <v>850</v>
      </c>
    </row>
    <row r="1287" spans="1:12" x14ac:dyDescent="0.3">
      <c r="A1287" s="1">
        <v>46167</v>
      </c>
      <c r="B1287" t="s">
        <v>17</v>
      </c>
      <c r="C1287" t="s">
        <v>12</v>
      </c>
      <c r="D1287" t="s">
        <v>11</v>
      </c>
      <c r="E1287">
        <v>758</v>
      </c>
      <c r="F1287">
        <v>26</v>
      </c>
      <c r="G1287">
        <v>65</v>
      </c>
      <c r="H1287">
        <v>732</v>
      </c>
      <c r="I1287">
        <v>3.4300791556728232</v>
      </c>
      <c r="J1287">
        <v>96.569920844327171</v>
      </c>
      <c r="K1287" t="str">
        <f>_xlfn.XLOOKUP(tblProduction[[#This Row],[Product]],tblProducts[Product],tblProducts[Category],"Not Found")</f>
        <v>Precision</v>
      </c>
      <c r="L1287">
        <f>_xlfn.XLOOKUP(tblProduction[[#This Row],[Product]],tblProducts[Product],tblProducts[Target_Units],"Not Found")</f>
        <v>950</v>
      </c>
    </row>
    <row r="1288" spans="1:12" x14ac:dyDescent="0.3">
      <c r="A1288" s="1">
        <v>46167</v>
      </c>
      <c r="B1288" t="s">
        <v>17</v>
      </c>
      <c r="C1288" t="s">
        <v>13</v>
      </c>
      <c r="D1288" t="s">
        <v>18</v>
      </c>
      <c r="E1288">
        <v>595</v>
      </c>
      <c r="F1288">
        <v>26</v>
      </c>
      <c r="G1288">
        <v>85</v>
      </c>
      <c r="H1288">
        <v>569</v>
      </c>
      <c r="I1288">
        <v>4.3697478991596634</v>
      </c>
      <c r="J1288">
        <v>95.630252100840337</v>
      </c>
      <c r="K1288" t="str">
        <f>_xlfn.XLOOKUP(tblProduction[[#This Row],[Product]],tblProducts[Product],tblProducts[Category],"Not Found")</f>
        <v>Assembly</v>
      </c>
      <c r="L1288">
        <f>_xlfn.XLOOKUP(tblProduction[[#This Row],[Product]],tblProducts[Product],tblProducts[Target_Units],"Not Found")</f>
        <v>900</v>
      </c>
    </row>
    <row r="1289" spans="1:12" x14ac:dyDescent="0.3">
      <c r="A1289" s="1">
        <v>46168</v>
      </c>
      <c r="B1289" t="s">
        <v>9</v>
      </c>
      <c r="C1289" t="s">
        <v>10</v>
      </c>
      <c r="D1289" t="s">
        <v>11</v>
      </c>
      <c r="E1289">
        <v>956</v>
      </c>
      <c r="F1289">
        <v>14</v>
      </c>
      <c r="G1289">
        <v>66</v>
      </c>
      <c r="H1289">
        <v>942</v>
      </c>
      <c r="I1289">
        <v>1.464435146443515</v>
      </c>
      <c r="J1289">
        <v>98.535564853556494</v>
      </c>
      <c r="K1289" t="str">
        <f>_xlfn.XLOOKUP(tblProduction[[#This Row],[Product]],tblProducts[Product],tblProducts[Category],"Not Found")</f>
        <v>Precision</v>
      </c>
      <c r="L1289">
        <f>_xlfn.XLOOKUP(tblProduction[[#This Row],[Product]],tblProducts[Product],tblProducts[Target_Units],"Not Found")</f>
        <v>950</v>
      </c>
    </row>
    <row r="1290" spans="1:12" x14ac:dyDescent="0.3">
      <c r="A1290" s="1">
        <v>46168</v>
      </c>
      <c r="B1290" t="s">
        <v>9</v>
      </c>
      <c r="C1290" t="s">
        <v>12</v>
      </c>
      <c r="D1290" t="s">
        <v>18</v>
      </c>
      <c r="E1290">
        <v>930</v>
      </c>
      <c r="F1290">
        <v>13</v>
      </c>
      <c r="G1290">
        <v>26</v>
      </c>
      <c r="H1290">
        <v>917</v>
      </c>
      <c r="I1290">
        <v>1.397849462365591</v>
      </c>
      <c r="J1290">
        <v>98.602150537634401</v>
      </c>
      <c r="K1290" t="str">
        <f>_xlfn.XLOOKUP(tblProduction[[#This Row],[Product]],tblProducts[Product],tblProducts[Category],"Not Found")</f>
        <v>Assembly</v>
      </c>
      <c r="L1290">
        <f>_xlfn.XLOOKUP(tblProduction[[#This Row],[Product]],tblProducts[Product],tblProducts[Target_Units],"Not Found")</f>
        <v>900</v>
      </c>
    </row>
    <row r="1291" spans="1:12" x14ac:dyDescent="0.3">
      <c r="A1291" s="1">
        <v>46168</v>
      </c>
      <c r="B1291" t="s">
        <v>9</v>
      </c>
      <c r="C1291" t="s">
        <v>13</v>
      </c>
      <c r="D1291" t="s">
        <v>11</v>
      </c>
      <c r="E1291">
        <v>870</v>
      </c>
      <c r="F1291">
        <v>21</v>
      </c>
      <c r="G1291">
        <v>53</v>
      </c>
      <c r="H1291">
        <v>849</v>
      </c>
      <c r="I1291">
        <v>2.4137931034482758</v>
      </c>
      <c r="J1291">
        <v>97.586206896551715</v>
      </c>
      <c r="K1291" t="str">
        <f>_xlfn.XLOOKUP(tblProduction[[#This Row],[Product]],tblProducts[Product],tblProducts[Category],"Not Found")</f>
        <v>Precision</v>
      </c>
      <c r="L1291">
        <f>_xlfn.XLOOKUP(tblProduction[[#This Row],[Product]],tblProducts[Product],tblProducts[Target_Units],"Not Found")</f>
        <v>950</v>
      </c>
    </row>
    <row r="1292" spans="1:12" x14ac:dyDescent="0.3">
      <c r="A1292" s="1">
        <v>46168</v>
      </c>
      <c r="B1292" t="s">
        <v>15</v>
      </c>
      <c r="C1292" t="s">
        <v>10</v>
      </c>
      <c r="D1292" t="s">
        <v>11</v>
      </c>
      <c r="E1292">
        <v>849</v>
      </c>
      <c r="F1292">
        <v>21</v>
      </c>
      <c r="G1292">
        <v>69</v>
      </c>
      <c r="H1292">
        <v>828</v>
      </c>
      <c r="I1292">
        <v>2.473498233215548</v>
      </c>
      <c r="J1292">
        <v>97.526501766784463</v>
      </c>
      <c r="K1292" t="str">
        <f>_xlfn.XLOOKUP(tblProduction[[#This Row],[Product]],tblProducts[Product],tblProducts[Category],"Not Found")</f>
        <v>Precision</v>
      </c>
      <c r="L1292">
        <f>_xlfn.XLOOKUP(tblProduction[[#This Row],[Product]],tblProducts[Product],tblProducts[Target_Units],"Not Found")</f>
        <v>950</v>
      </c>
    </row>
    <row r="1293" spans="1:12" x14ac:dyDescent="0.3">
      <c r="A1293" s="1">
        <v>46168</v>
      </c>
      <c r="B1293" t="s">
        <v>15</v>
      </c>
      <c r="C1293" t="s">
        <v>12</v>
      </c>
      <c r="D1293" t="s">
        <v>11</v>
      </c>
      <c r="E1293">
        <v>856</v>
      </c>
      <c r="F1293">
        <v>21</v>
      </c>
      <c r="G1293">
        <v>3</v>
      </c>
      <c r="H1293">
        <v>835</v>
      </c>
      <c r="I1293">
        <v>2.4532710280373831</v>
      </c>
      <c r="J1293">
        <v>97.546728971962608</v>
      </c>
      <c r="K1293" t="str">
        <f>_xlfn.XLOOKUP(tblProduction[[#This Row],[Product]],tblProducts[Product],tblProducts[Category],"Not Found")</f>
        <v>Precision</v>
      </c>
      <c r="L1293">
        <f>_xlfn.XLOOKUP(tblProduction[[#This Row],[Product]],tblProducts[Product],tblProducts[Target_Units],"Not Found")</f>
        <v>950</v>
      </c>
    </row>
    <row r="1294" spans="1:12" x14ac:dyDescent="0.3">
      <c r="A1294" s="1">
        <v>46168</v>
      </c>
      <c r="B1294" t="s">
        <v>15</v>
      </c>
      <c r="C1294" t="s">
        <v>13</v>
      </c>
      <c r="D1294" t="s">
        <v>18</v>
      </c>
      <c r="E1294">
        <v>730</v>
      </c>
      <c r="F1294">
        <v>25</v>
      </c>
      <c r="G1294">
        <v>67</v>
      </c>
      <c r="H1294">
        <v>705</v>
      </c>
      <c r="I1294">
        <v>3.4246575342465748</v>
      </c>
      <c r="J1294">
        <v>96.575342465753423</v>
      </c>
      <c r="K1294" t="str">
        <f>_xlfn.XLOOKUP(tblProduction[[#This Row],[Product]],tblProducts[Product],tblProducts[Category],"Not Found")</f>
        <v>Assembly</v>
      </c>
      <c r="L1294">
        <f>_xlfn.XLOOKUP(tblProduction[[#This Row],[Product]],tblProducts[Product],tblProducts[Target_Units],"Not Found")</f>
        <v>900</v>
      </c>
    </row>
    <row r="1295" spans="1:12" x14ac:dyDescent="0.3">
      <c r="A1295" s="1">
        <v>46168</v>
      </c>
      <c r="B1295" t="s">
        <v>17</v>
      </c>
      <c r="C1295" t="s">
        <v>10</v>
      </c>
      <c r="D1295" t="s">
        <v>11</v>
      </c>
      <c r="E1295">
        <v>718</v>
      </c>
      <c r="F1295">
        <v>25</v>
      </c>
      <c r="G1295">
        <v>79</v>
      </c>
      <c r="H1295">
        <v>693</v>
      </c>
      <c r="I1295">
        <v>3.481894150417828</v>
      </c>
      <c r="J1295">
        <v>96.51810584958217</v>
      </c>
      <c r="K1295" t="str">
        <f>_xlfn.XLOOKUP(tblProduction[[#This Row],[Product]],tblProducts[Product],tblProducts[Category],"Not Found")</f>
        <v>Precision</v>
      </c>
      <c r="L1295">
        <f>_xlfn.XLOOKUP(tblProduction[[#This Row],[Product]],tblProducts[Product],tblProducts[Target_Units],"Not Found")</f>
        <v>950</v>
      </c>
    </row>
    <row r="1296" spans="1:12" x14ac:dyDescent="0.3">
      <c r="A1296" s="1">
        <v>46168</v>
      </c>
      <c r="B1296" t="s">
        <v>17</v>
      </c>
      <c r="C1296" t="s">
        <v>12</v>
      </c>
      <c r="D1296" t="s">
        <v>18</v>
      </c>
      <c r="E1296">
        <v>733</v>
      </c>
      <c r="F1296">
        <v>25</v>
      </c>
      <c r="G1296">
        <v>38</v>
      </c>
      <c r="H1296">
        <v>708</v>
      </c>
      <c r="I1296">
        <v>3.4106412005457032</v>
      </c>
      <c r="J1296">
        <v>96.589358799454288</v>
      </c>
      <c r="K1296" t="str">
        <f>_xlfn.XLOOKUP(tblProduction[[#This Row],[Product]],tblProducts[Product],tblProducts[Category],"Not Found")</f>
        <v>Assembly</v>
      </c>
      <c r="L1296">
        <f>_xlfn.XLOOKUP(tblProduction[[#This Row],[Product]],tblProducts[Product],tblProducts[Target_Units],"Not Found")</f>
        <v>900</v>
      </c>
    </row>
    <row r="1297" spans="1:12" x14ac:dyDescent="0.3">
      <c r="A1297" s="1">
        <v>46168</v>
      </c>
      <c r="B1297" t="s">
        <v>17</v>
      </c>
      <c r="C1297" t="s">
        <v>13</v>
      </c>
      <c r="D1297" t="s">
        <v>11</v>
      </c>
      <c r="E1297">
        <v>691</v>
      </c>
      <c r="F1297">
        <v>31</v>
      </c>
      <c r="G1297">
        <v>51</v>
      </c>
      <c r="H1297">
        <v>660</v>
      </c>
      <c r="I1297">
        <v>4.4862518089725034</v>
      </c>
      <c r="J1297">
        <v>95.513748191027489</v>
      </c>
      <c r="K1297" t="str">
        <f>_xlfn.XLOOKUP(tblProduction[[#This Row],[Product]],tblProducts[Product],tblProducts[Category],"Not Found")</f>
        <v>Precision</v>
      </c>
      <c r="L1297">
        <f>_xlfn.XLOOKUP(tblProduction[[#This Row],[Product]],tblProducts[Product],tblProducts[Target_Units],"Not Found")</f>
        <v>950</v>
      </c>
    </row>
    <row r="1298" spans="1:12" x14ac:dyDescent="0.3">
      <c r="A1298" s="1">
        <v>46169</v>
      </c>
      <c r="B1298" t="s">
        <v>9</v>
      </c>
      <c r="C1298" t="s">
        <v>10</v>
      </c>
      <c r="D1298" t="s">
        <v>18</v>
      </c>
      <c r="E1298">
        <v>823</v>
      </c>
      <c r="F1298">
        <v>12</v>
      </c>
      <c r="G1298">
        <v>75</v>
      </c>
      <c r="H1298">
        <v>811</v>
      </c>
      <c r="I1298">
        <v>1.458080194410692</v>
      </c>
      <c r="J1298">
        <v>98.541919805589302</v>
      </c>
      <c r="K1298" t="str">
        <f>_xlfn.XLOOKUP(tblProduction[[#This Row],[Product]],tblProducts[Product],tblProducts[Category],"Not Found")</f>
        <v>Assembly</v>
      </c>
      <c r="L1298">
        <f>_xlfn.XLOOKUP(tblProduction[[#This Row],[Product]],tblProducts[Product],tblProducts[Target_Units],"Not Found")</f>
        <v>900</v>
      </c>
    </row>
    <row r="1299" spans="1:12" x14ac:dyDescent="0.3">
      <c r="A1299" s="1">
        <v>46169</v>
      </c>
      <c r="B1299" t="s">
        <v>9</v>
      </c>
      <c r="C1299" t="s">
        <v>12</v>
      </c>
      <c r="D1299" t="s">
        <v>18</v>
      </c>
      <c r="E1299">
        <v>881</v>
      </c>
      <c r="F1299">
        <v>13</v>
      </c>
      <c r="G1299">
        <v>21</v>
      </c>
      <c r="H1299">
        <v>868</v>
      </c>
      <c r="I1299">
        <v>1.475595913734393</v>
      </c>
      <c r="J1299">
        <v>98.524404086265605</v>
      </c>
      <c r="K1299" t="str">
        <f>_xlfn.XLOOKUP(tblProduction[[#This Row],[Product]],tblProducts[Product],tblProducts[Category],"Not Found")</f>
        <v>Assembly</v>
      </c>
      <c r="L1299">
        <f>_xlfn.XLOOKUP(tblProduction[[#This Row],[Product]],tblProducts[Product],tblProducts[Target_Units],"Not Found")</f>
        <v>900</v>
      </c>
    </row>
    <row r="1300" spans="1:12" x14ac:dyDescent="0.3">
      <c r="A1300" s="1">
        <v>46169</v>
      </c>
      <c r="B1300" t="s">
        <v>9</v>
      </c>
      <c r="C1300" t="s">
        <v>13</v>
      </c>
      <c r="D1300" t="s">
        <v>11</v>
      </c>
      <c r="E1300">
        <v>935</v>
      </c>
      <c r="F1300">
        <v>23</v>
      </c>
      <c r="G1300">
        <v>18</v>
      </c>
      <c r="H1300">
        <v>912</v>
      </c>
      <c r="I1300">
        <v>2.4598930481283419</v>
      </c>
      <c r="J1300">
        <v>97.54010695187165</v>
      </c>
      <c r="K1300" t="str">
        <f>_xlfn.XLOOKUP(tblProduction[[#This Row],[Product]],tblProducts[Product],tblProducts[Category],"Not Found")</f>
        <v>Precision</v>
      </c>
      <c r="L1300">
        <f>_xlfn.XLOOKUP(tblProduction[[#This Row],[Product]],tblProducts[Product],tblProducts[Target_Units],"Not Found")</f>
        <v>950</v>
      </c>
    </row>
    <row r="1301" spans="1:12" x14ac:dyDescent="0.3">
      <c r="A1301" s="1">
        <v>46169</v>
      </c>
      <c r="B1301" t="s">
        <v>15</v>
      </c>
      <c r="C1301" t="s">
        <v>10</v>
      </c>
      <c r="D1301" t="s">
        <v>14</v>
      </c>
      <c r="E1301">
        <v>800</v>
      </c>
      <c r="F1301">
        <v>26</v>
      </c>
      <c r="G1301">
        <v>15</v>
      </c>
      <c r="H1301">
        <v>774</v>
      </c>
      <c r="I1301">
        <v>3.25</v>
      </c>
      <c r="J1301">
        <v>96.75</v>
      </c>
      <c r="K1301" t="str">
        <f>_xlfn.XLOOKUP(tblProduction[[#This Row],[Product]],tblProducts[Product],tblProducts[Category],"Not Found")</f>
        <v>Assembly</v>
      </c>
      <c r="L1301">
        <f>_xlfn.XLOOKUP(tblProduction[[#This Row],[Product]],tblProducts[Product],tblProducts[Target_Units],"Not Found")</f>
        <v>850</v>
      </c>
    </row>
    <row r="1302" spans="1:12" x14ac:dyDescent="0.3">
      <c r="A1302" s="1">
        <v>46169</v>
      </c>
      <c r="B1302" t="s">
        <v>15</v>
      </c>
      <c r="C1302" t="s">
        <v>12</v>
      </c>
      <c r="D1302" t="s">
        <v>14</v>
      </c>
      <c r="E1302">
        <v>687</v>
      </c>
      <c r="F1302">
        <v>22</v>
      </c>
      <c r="G1302">
        <v>63</v>
      </c>
      <c r="H1302">
        <v>665</v>
      </c>
      <c r="I1302">
        <v>3.2023289665211059</v>
      </c>
      <c r="J1302">
        <v>96.797671033478892</v>
      </c>
      <c r="K1302" t="str">
        <f>_xlfn.XLOOKUP(tblProduction[[#This Row],[Product]],tblProducts[Product],tblProducts[Category],"Not Found")</f>
        <v>Assembly</v>
      </c>
      <c r="L1302">
        <f>_xlfn.XLOOKUP(tblProduction[[#This Row],[Product]],tblProducts[Product],tblProducts[Target_Units],"Not Found")</f>
        <v>850</v>
      </c>
    </row>
    <row r="1303" spans="1:12" x14ac:dyDescent="0.3">
      <c r="A1303" s="1">
        <v>46169</v>
      </c>
      <c r="B1303" t="s">
        <v>15</v>
      </c>
      <c r="C1303" t="s">
        <v>13</v>
      </c>
      <c r="D1303" t="s">
        <v>16</v>
      </c>
      <c r="E1303">
        <v>847</v>
      </c>
      <c r="F1303">
        <v>29</v>
      </c>
      <c r="G1303">
        <v>46</v>
      </c>
      <c r="H1303">
        <v>818</v>
      </c>
      <c r="I1303">
        <v>3.4238488783943328</v>
      </c>
      <c r="J1303">
        <v>96.576151121605676</v>
      </c>
      <c r="K1303" t="str">
        <f>_xlfn.XLOOKUP(tblProduction[[#This Row],[Product]],tblProducts[Product],tblProducts[Category],"Not Found")</f>
        <v>Standard</v>
      </c>
      <c r="L1303">
        <f>_xlfn.XLOOKUP(tblProduction[[#This Row],[Product]],tblProducts[Product],tblProducts[Target_Units],"Not Found")</f>
        <v>1000</v>
      </c>
    </row>
    <row r="1304" spans="1:12" x14ac:dyDescent="0.3">
      <c r="A1304" s="1">
        <v>46169</v>
      </c>
      <c r="B1304" t="s">
        <v>17</v>
      </c>
      <c r="C1304" t="s">
        <v>10</v>
      </c>
      <c r="D1304" t="s">
        <v>16</v>
      </c>
      <c r="E1304">
        <v>812</v>
      </c>
      <c r="F1304">
        <v>28</v>
      </c>
      <c r="G1304">
        <v>60</v>
      </c>
      <c r="H1304">
        <v>784</v>
      </c>
      <c r="I1304">
        <v>3.4482758620689649</v>
      </c>
      <c r="J1304">
        <v>96.551724137931032</v>
      </c>
      <c r="K1304" t="str">
        <f>_xlfn.XLOOKUP(tblProduction[[#This Row],[Product]],tblProducts[Product],tblProducts[Category],"Not Found")</f>
        <v>Standard</v>
      </c>
      <c r="L1304">
        <f>_xlfn.XLOOKUP(tblProduction[[#This Row],[Product]],tblProducts[Product],tblProducts[Target_Units],"Not Found")</f>
        <v>1000</v>
      </c>
    </row>
    <row r="1305" spans="1:12" x14ac:dyDescent="0.3">
      <c r="A1305" s="1">
        <v>46169</v>
      </c>
      <c r="B1305" t="s">
        <v>17</v>
      </c>
      <c r="C1305" t="s">
        <v>12</v>
      </c>
      <c r="D1305" t="s">
        <v>14</v>
      </c>
      <c r="E1305">
        <v>658</v>
      </c>
      <c r="F1305">
        <v>28</v>
      </c>
      <c r="G1305">
        <v>41</v>
      </c>
      <c r="H1305">
        <v>630</v>
      </c>
      <c r="I1305">
        <v>4.2553191489361701</v>
      </c>
      <c r="J1305">
        <v>95.744680851063833</v>
      </c>
      <c r="K1305" t="str">
        <f>_xlfn.XLOOKUP(tblProduction[[#This Row],[Product]],tblProducts[Product],tblProducts[Category],"Not Found")</f>
        <v>Assembly</v>
      </c>
      <c r="L1305">
        <f>_xlfn.XLOOKUP(tblProduction[[#This Row],[Product]],tblProducts[Product],tblProducts[Target_Units],"Not Found")</f>
        <v>850</v>
      </c>
    </row>
    <row r="1306" spans="1:12" x14ac:dyDescent="0.3">
      <c r="A1306" s="1">
        <v>46169</v>
      </c>
      <c r="B1306" t="s">
        <v>17</v>
      </c>
      <c r="C1306" t="s">
        <v>13</v>
      </c>
      <c r="D1306" t="s">
        <v>14</v>
      </c>
      <c r="E1306">
        <v>636</v>
      </c>
      <c r="F1306">
        <v>33</v>
      </c>
      <c r="G1306">
        <v>49</v>
      </c>
      <c r="H1306">
        <v>603</v>
      </c>
      <c r="I1306">
        <v>5.1886792452830193</v>
      </c>
      <c r="J1306">
        <v>94.811320754716974</v>
      </c>
      <c r="K1306" t="str">
        <f>_xlfn.XLOOKUP(tblProduction[[#This Row],[Product]],tblProducts[Product],tblProducts[Category],"Not Found")</f>
        <v>Assembly</v>
      </c>
      <c r="L1306">
        <f>_xlfn.XLOOKUP(tblProduction[[#This Row],[Product]],tblProducts[Product],tblProducts[Target_Units],"Not Found")</f>
        <v>850</v>
      </c>
    </row>
    <row r="1307" spans="1:12" x14ac:dyDescent="0.3">
      <c r="A1307" s="1">
        <v>46170</v>
      </c>
      <c r="B1307" t="s">
        <v>9</v>
      </c>
      <c r="C1307" t="s">
        <v>10</v>
      </c>
      <c r="D1307" t="s">
        <v>11</v>
      </c>
      <c r="E1307">
        <v>924</v>
      </c>
      <c r="F1307">
        <v>13</v>
      </c>
      <c r="G1307">
        <v>48</v>
      </c>
      <c r="H1307">
        <v>911</v>
      </c>
      <c r="I1307">
        <v>1.4069264069264069</v>
      </c>
      <c r="J1307">
        <v>98.593073593073584</v>
      </c>
      <c r="K1307" t="str">
        <f>_xlfn.XLOOKUP(tblProduction[[#This Row],[Product]],tblProducts[Product],tblProducts[Category],"Not Found")</f>
        <v>Precision</v>
      </c>
      <c r="L1307">
        <f>_xlfn.XLOOKUP(tblProduction[[#This Row],[Product]],tblProducts[Product],tblProducts[Target_Units],"Not Found")</f>
        <v>950</v>
      </c>
    </row>
    <row r="1308" spans="1:12" x14ac:dyDescent="0.3">
      <c r="A1308" s="1">
        <v>46170</v>
      </c>
      <c r="B1308" t="s">
        <v>9</v>
      </c>
      <c r="C1308" t="s">
        <v>12</v>
      </c>
      <c r="D1308" t="s">
        <v>16</v>
      </c>
      <c r="E1308">
        <v>985</v>
      </c>
      <c r="F1308">
        <v>14</v>
      </c>
      <c r="G1308">
        <v>9</v>
      </c>
      <c r="H1308">
        <v>971</v>
      </c>
      <c r="I1308">
        <v>1.421319796954315</v>
      </c>
      <c r="J1308">
        <v>98.578680203045693</v>
      </c>
      <c r="K1308" t="str">
        <f>_xlfn.XLOOKUP(tblProduction[[#This Row],[Product]],tblProducts[Product],tblProducts[Category],"Not Found")</f>
        <v>Standard</v>
      </c>
      <c r="L1308">
        <f>_xlfn.XLOOKUP(tblProduction[[#This Row],[Product]],tblProducts[Product],tblProducts[Target_Units],"Not Found")</f>
        <v>1000</v>
      </c>
    </row>
    <row r="1309" spans="1:12" x14ac:dyDescent="0.3">
      <c r="A1309" s="1">
        <v>46170</v>
      </c>
      <c r="B1309" t="s">
        <v>9</v>
      </c>
      <c r="C1309" t="s">
        <v>13</v>
      </c>
      <c r="D1309" t="s">
        <v>11</v>
      </c>
      <c r="E1309">
        <v>787</v>
      </c>
      <c r="F1309">
        <v>19</v>
      </c>
      <c r="G1309">
        <v>66</v>
      </c>
      <c r="H1309">
        <v>768</v>
      </c>
      <c r="I1309">
        <v>2.4142312579415499</v>
      </c>
      <c r="J1309">
        <v>97.585768742058448</v>
      </c>
      <c r="K1309" t="str">
        <f>_xlfn.XLOOKUP(tblProduction[[#This Row],[Product]],tblProducts[Product],tblProducts[Category],"Not Found")</f>
        <v>Precision</v>
      </c>
      <c r="L1309">
        <f>_xlfn.XLOOKUP(tblProduction[[#This Row],[Product]],tblProducts[Product],tblProducts[Target_Units],"Not Found")</f>
        <v>950</v>
      </c>
    </row>
    <row r="1310" spans="1:12" x14ac:dyDescent="0.3">
      <c r="A1310" s="1">
        <v>46170</v>
      </c>
      <c r="B1310" t="s">
        <v>15</v>
      </c>
      <c r="C1310" t="s">
        <v>10</v>
      </c>
      <c r="D1310" t="s">
        <v>11</v>
      </c>
      <c r="E1310">
        <v>832</v>
      </c>
      <c r="F1310">
        <v>20</v>
      </c>
      <c r="G1310">
        <v>77</v>
      </c>
      <c r="H1310">
        <v>812</v>
      </c>
      <c r="I1310">
        <v>2.4038461538461542</v>
      </c>
      <c r="J1310">
        <v>97.59615384615384</v>
      </c>
      <c r="K1310" t="str">
        <f>_xlfn.XLOOKUP(tblProduction[[#This Row],[Product]],tblProducts[Product],tblProducts[Category],"Not Found")</f>
        <v>Precision</v>
      </c>
      <c r="L1310">
        <f>_xlfn.XLOOKUP(tblProduction[[#This Row],[Product]],tblProducts[Product],tblProducts[Target_Units],"Not Found")</f>
        <v>950</v>
      </c>
    </row>
    <row r="1311" spans="1:12" x14ac:dyDescent="0.3">
      <c r="A1311" s="1">
        <v>46170</v>
      </c>
      <c r="B1311" t="s">
        <v>15</v>
      </c>
      <c r="C1311" t="s">
        <v>12</v>
      </c>
      <c r="D1311" t="s">
        <v>11</v>
      </c>
      <c r="E1311">
        <v>843</v>
      </c>
      <c r="F1311">
        <v>21</v>
      </c>
      <c r="G1311">
        <v>11</v>
      </c>
      <c r="H1311">
        <v>822</v>
      </c>
      <c r="I1311">
        <v>2.4911032028469751</v>
      </c>
      <c r="J1311">
        <v>97.508896797153028</v>
      </c>
      <c r="K1311" t="str">
        <f>_xlfn.XLOOKUP(tblProduction[[#This Row],[Product]],tblProducts[Product],tblProducts[Category],"Not Found")</f>
        <v>Precision</v>
      </c>
      <c r="L1311">
        <f>_xlfn.XLOOKUP(tblProduction[[#This Row],[Product]],tblProducts[Product],tblProducts[Target_Units],"Not Found")</f>
        <v>950</v>
      </c>
    </row>
    <row r="1312" spans="1:12" x14ac:dyDescent="0.3">
      <c r="A1312" s="1">
        <v>46170</v>
      </c>
      <c r="B1312" t="s">
        <v>15</v>
      </c>
      <c r="C1312" t="s">
        <v>13</v>
      </c>
      <c r="D1312" t="s">
        <v>16</v>
      </c>
      <c r="E1312">
        <v>730</v>
      </c>
      <c r="F1312">
        <v>25</v>
      </c>
      <c r="G1312">
        <v>83</v>
      </c>
      <c r="H1312">
        <v>705</v>
      </c>
      <c r="I1312">
        <v>3.4246575342465748</v>
      </c>
      <c r="J1312">
        <v>96.575342465753423</v>
      </c>
      <c r="K1312" t="str">
        <f>_xlfn.XLOOKUP(tblProduction[[#This Row],[Product]],tblProducts[Product],tblProducts[Category],"Not Found")</f>
        <v>Standard</v>
      </c>
      <c r="L1312">
        <f>_xlfn.XLOOKUP(tblProduction[[#This Row],[Product]],tblProducts[Product],tblProducts[Target_Units],"Not Found")</f>
        <v>1000</v>
      </c>
    </row>
    <row r="1313" spans="1:12" x14ac:dyDescent="0.3">
      <c r="A1313" s="1">
        <v>46170</v>
      </c>
      <c r="B1313" t="s">
        <v>17</v>
      </c>
      <c r="C1313" t="s">
        <v>10</v>
      </c>
      <c r="D1313" t="s">
        <v>18</v>
      </c>
      <c r="E1313">
        <v>743</v>
      </c>
      <c r="F1313">
        <v>26</v>
      </c>
      <c r="G1313">
        <v>61</v>
      </c>
      <c r="H1313">
        <v>717</v>
      </c>
      <c r="I1313">
        <v>3.4993270524899049</v>
      </c>
      <c r="J1313">
        <v>96.500672947510097</v>
      </c>
      <c r="K1313" t="str">
        <f>_xlfn.XLOOKUP(tblProduction[[#This Row],[Product]],tblProducts[Product],tblProducts[Category],"Not Found")</f>
        <v>Assembly</v>
      </c>
      <c r="L1313">
        <f>_xlfn.XLOOKUP(tblProduction[[#This Row],[Product]],tblProducts[Product],tblProducts[Target_Units],"Not Found")</f>
        <v>900</v>
      </c>
    </row>
    <row r="1314" spans="1:12" x14ac:dyDescent="0.3">
      <c r="A1314" s="1">
        <v>46170</v>
      </c>
      <c r="B1314" t="s">
        <v>17</v>
      </c>
      <c r="C1314" t="s">
        <v>12</v>
      </c>
      <c r="D1314" t="s">
        <v>14</v>
      </c>
      <c r="E1314">
        <v>682</v>
      </c>
      <c r="F1314">
        <v>29</v>
      </c>
      <c r="G1314">
        <v>12</v>
      </c>
      <c r="H1314">
        <v>653</v>
      </c>
      <c r="I1314">
        <v>4.2521994134897358</v>
      </c>
      <c r="J1314">
        <v>95.747800586510266</v>
      </c>
      <c r="K1314" t="str">
        <f>_xlfn.XLOOKUP(tblProduction[[#This Row],[Product]],tblProducts[Product],tblProducts[Category],"Not Found")</f>
        <v>Assembly</v>
      </c>
      <c r="L1314">
        <f>_xlfn.XLOOKUP(tblProduction[[#This Row],[Product]],tblProducts[Product],tblProducts[Target_Units],"Not Found")</f>
        <v>850</v>
      </c>
    </row>
    <row r="1315" spans="1:12" x14ac:dyDescent="0.3">
      <c r="A1315" s="1">
        <v>46170</v>
      </c>
      <c r="B1315" t="s">
        <v>17</v>
      </c>
      <c r="C1315" t="s">
        <v>13</v>
      </c>
      <c r="D1315" t="s">
        <v>11</v>
      </c>
      <c r="E1315">
        <v>669</v>
      </c>
      <c r="F1315">
        <v>30</v>
      </c>
      <c r="G1315">
        <v>79</v>
      </c>
      <c r="H1315">
        <v>639</v>
      </c>
      <c r="I1315">
        <v>4.4843049327354256</v>
      </c>
      <c r="J1315">
        <v>95.515695067264573</v>
      </c>
      <c r="K1315" t="str">
        <f>_xlfn.XLOOKUP(tblProduction[[#This Row],[Product]],tblProducts[Product],tblProducts[Category],"Not Found")</f>
        <v>Precision</v>
      </c>
      <c r="L1315">
        <f>_xlfn.XLOOKUP(tblProduction[[#This Row],[Product]],tblProducts[Product],tblProducts[Target_Units],"Not Found")</f>
        <v>950</v>
      </c>
    </row>
    <row r="1316" spans="1:12" x14ac:dyDescent="0.3">
      <c r="A1316" s="1">
        <v>46171</v>
      </c>
      <c r="B1316" t="s">
        <v>9</v>
      </c>
      <c r="C1316" t="s">
        <v>10</v>
      </c>
      <c r="D1316" t="s">
        <v>16</v>
      </c>
      <c r="E1316">
        <v>989</v>
      </c>
      <c r="F1316">
        <v>14</v>
      </c>
      <c r="G1316">
        <v>70</v>
      </c>
      <c r="H1316">
        <v>975</v>
      </c>
      <c r="I1316">
        <v>1.4155712841253789</v>
      </c>
      <c r="J1316">
        <v>98.584428715874623</v>
      </c>
      <c r="K1316" t="str">
        <f>_xlfn.XLOOKUP(tblProduction[[#This Row],[Product]],tblProducts[Product],tblProducts[Category],"Not Found")</f>
        <v>Standard</v>
      </c>
      <c r="L1316">
        <f>_xlfn.XLOOKUP(tblProduction[[#This Row],[Product]],tblProducts[Product],tblProducts[Target_Units],"Not Found")</f>
        <v>1000</v>
      </c>
    </row>
    <row r="1317" spans="1:12" x14ac:dyDescent="0.3">
      <c r="A1317" s="1">
        <v>46171</v>
      </c>
      <c r="B1317" t="s">
        <v>9</v>
      </c>
      <c r="C1317" t="s">
        <v>12</v>
      </c>
      <c r="D1317" t="s">
        <v>18</v>
      </c>
      <c r="E1317">
        <v>835</v>
      </c>
      <c r="F1317">
        <v>12</v>
      </c>
      <c r="G1317">
        <v>59</v>
      </c>
      <c r="H1317">
        <v>823</v>
      </c>
      <c r="I1317">
        <v>1.437125748502994</v>
      </c>
      <c r="J1317">
        <v>98.562874251497007</v>
      </c>
      <c r="K1317" t="str">
        <f>_xlfn.XLOOKUP(tblProduction[[#This Row],[Product]],tblProducts[Product],tblProducts[Category],"Not Found")</f>
        <v>Assembly</v>
      </c>
      <c r="L1317">
        <f>_xlfn.XLOOKUP(tblProduction[[#This Row],[Product]],tblProducts[Product],tblProducts[Target_Units],"Not Found")</f>
        <v>900</v>
      </c>
    </row>
    <row r="1318" spans="1:12" x14ac:dyDescent="0.3">
      <c r="A1318" s="1">
        <v>46171</v>
      </c>
      <c r="B1318" t="s">
        <v>9</v>
      </c>
      <c r="C1318" t="s">
        <v>13</v>
      </c>
      <c r="D1318" t="s">
        <v>14</v>
      </c>
      <c r="E1318">
        <v>751</v>
      </c>
      <c r="F1318">
        <v>24</v>
      </c>
      <c r="G1318">
        <v>53</v>
      </c>
      <c r="H1318">
        <v>727</v>
      </c>
      <c r="I1318">
        <v>3.1957390146471369</v>
      </c>
      <c r="J1318">
        <v>96.804260985352869</v>
      </c>
      <c r="K1318" t="str">
        <f>_xlfn.XLOOKUP(tblProduction[[#This Row],[Product]],tblProducts[Product],tblProducts[Category],"Not Found")</f>
        <v>Assembly</v>
      </c>
      <c r="L1318">
        <f>_xlfn.XLOOKUP(tblProduction[[#This Row],[Product]],tblProducts[Product],tblProducts[Target_Units],"Not Found")</f>
        <v>850</v>
      </c>
    </row>
    <row r="1319" spans="1:12" x14ac:dyDescent="0.3">
      <c r="A1319" s="1">
        <v>46171</v>
      </c>
      <c r="B1319" t="s">
        <v>15</v>
      </c>
      <c r="C1319" t="s">
        <v>10</v>
      </c>
      <c r="D1319" t="s">
        <v>11</v>
      </c>
      <c r="E1319">
        <v>836</v>
      </c>
      <c r="F1319">
        <v>20</v>
      </c>
      <c r="G1319">
        <v>48</v>
      </c>
      <c r="H1319">
        <v>816</v>
      </c>
      <c r="I1319">
        <v>2.392344497607656</v>
      </c>
      <c r="J1319">
        <v>97.607655502392348</v>
      </c>
      <c r="K1319" t="str">
        <f>_xlfn.XLOOKUP(tblProduction[[#This Row],[Product]],tblProducts[Product],tblProducts[Category],"Not Found")</f>
        <v>Precision</v>
      </c>
      <c r="L1319">
        <f>_xlfn.XLOOKUP(tblProduction[[#This Row],[Product]],tblProducts[Product],tblProducts[Target_Units],"Not Found")</f>
        <v>950</v>
      </c>
    </row>
    <row r="1320" spans="1:12" x14ac:dyDescent="0.3">
      <c r="A1320" s="1">
        <v>46171</v>
      </c>
      <c r="B1320" t="s">
        <v>15</v>
      </c>
      <c r="C1320" t="s">
        <v>12</v>
      </c>
      <c r="D1320" t="s">
        <v>11</v>
      </c>
      <c r="E1320">
        <v>846</v>
      </c>
      <c r="F1320">
        <v>21</v>
      </c>
      <c r="G1320">
        <v>38</v>
      </c>
      <c r="H1320">
        <v>825</v>
      </c>
      <c r="I1320">
        <v>2.4822695035461</v>
      </c>
      <c r="J1320">
        <v>97.517730496453908</v>
      </c>
      <c r="K1320" t="str">
        <f>_xlfn.XLOOKUP(tblProduction[[#This Row],[Product]],tblProducts[Product],tblProducts[Category],"Not Found")</f>
        <v>Precision</v>
      </c>
      <c r="L1320">
        <f>_xlfn.XLOOKUP(tblProduction[[#This Row],[Product]],tblProducts[Product],tblProducts[Target_Units],"Not Found")</f>
        <v>950</v>
      </c>
    </row>
    <row r="1321" spans="1:12" x14ac:dyDescent="0.3">
      <c r="A1321" s="1">
        <v>46171</v>
      </c>
      <c r="B1321" t="s">
        <v>15</v>
      </c>
      <c r="C1321" t="s">
        <v>13</v>
      </c>
      <c r="D1321" t="s">
        <v>16</v>
      </c>
      <c r="E1321">
        <v>792</v>
      </c>
      <c r="F1321">
        <v>27</v>
      </c>
      <c r="G1321">
        <v>46</v>
      </c>
      <c r="H1321">
        <v>765</v>
      </c>
      <c r="I1321">
        <v>3.4090909090909092</v>
      </c>
      <c r="J1321">
        <v>96.590909090909093</v>
      </c>
      <c r="K1321" t="str">
        <f>_xlfn.XLOOKUP(tblProduction[[#This Row],[Product]],tblProducts[Product],tblProducts[Category],"Not Found")</f>
        <v>Standard</v>
      </c>
      <c r="L1321">
        <f>_xlfn.XLOOKUP(tblProduction[[#This Row],[Product]],tblProducts[Product],tblProducts[Target_Units],"Not Found")</f>
        <v>1000</v>
      </c>
    </row>
    <row r="1322" spans="1:12" x14ac:dyDescent="0.3">
      <c r="A1322" s="1">
        <v>46171</v>
      </c>
      <c r="B1322" t="s">
        <v>17</v>
      </c>
      <c r="C1322" t="s">
        <v>10</v>
      </c>
      <c r="D1322" t="s">
        <v>18</v>
      </c>
      <c r="E1322">
        <v>700</v>
      </c>
      <c r="F1322">
        <v>24</v>
      </c>
      <c r="G1322">
        <v>77</v>
      </c>
      <c r="H1322">
        <v>676</v>
      </c>
      <c r="I1322">
        <v>3.4285714285714288</v>
      </c>
      <c r="J1322">
        <v>96.571428571428569</v>
      </c>
      <c r="K1322" t="str">
        <f>_xlfn.XLOOKUP(tblProduction[[#This Row],[Product]],tblProducts[Product],tblProducts[Category],"Not Found")</f>
        <v>Assembly</v>
      </c>
      <c r="L1322">
        <f>_xlfn.XLOOKUP(tblProduction[[#This Row],[Product]],tblProducts[Product],tblProducts[Target_Units],"Not Found")</f>
        <v>900</v>
      </c>
    </row>
    <row r="1323" spans="1:12" x14ac:dyDescent="0.3">
      <c r="A1323" s="1">
        <v>46171</v>
      </c>
      <c r="B1323" t="s">
        <v>17</v>
      </c>
      <c r="C1323" t="s">
        <v>12</v>
      </c>
      <c r="D1323" t="s">
        <v>18</v>
      </c>
      <c r="E1323">
        <v>740</v>
      </c>
      <c r="F1323">
        <v>25</v>
      </c>
      <c r="G1323">
        <v>2</v>
      </c>
      <c r="H1323">
        <v>715</v>
      </c>
      <c r="I1323">
        <v>3.378378378378379</v>
      </c>
      <c r="J1323">
        <v>96.621621621621628</v>
      </c>
      <c r="K1323" t="str">
        <f>_xlfn.XLOOKUP(tblProduction[[#This Row],[Product]],tblProducts[Product],tblProducts[Category],"Not Found")</f>
        <v>Assembly</v>
      </c>
      <c r="L1323">
        <f>_xlfn.XLOOKUP(tblProduction[[#This Row],[Product]],tblProducts[Product],tblProducts[Target_Units],"Not Found")</f>
        <v>900</v>
      </c>
    </row>
    <row r="1324" spans="1:12" x14ac:dyDescent="0.3">
      <c r="A1324" s="1">
        <v>46171</v>
      </c>
      <c r="B1324" t="s">
        <v>17</v>
      </c>
      <c r="C1324" t="s">
        <v>13</v>
      </c>
      <c r="D1324" t="s">
        <v>14</v>
      </c>
      <c r="E1324">
        <v>668</v>
      </c>
      <c r="F1324">
        <v>35</v>
      </c>
      <c r="G1324">
        <v>16</v>
      </c>
      <c r="H1324">
        <v>633</v>
      </c>
      <c r="I1324">
        <v>5.2395209580838316</v>
      </c>
      <c r="J1324">
        <v>94.76047904191617</v>
      </c>
      <c r="K1324" t="str">
        <f>_xlfn.XLOOKUP(tblProduction[[#This Row],[Product]],tblProducts[Product],tblProducts[Category],"Not Found")</f>
        <v>Assembly</v>
      </c>
      <c r="L1324">
        <f>_xlfn.XLOOKUP(tblProduction[[#This Row],[Product]],tblProducts[Product],tblProducts[Target_Units],"Not Found")</f>
        <v>850</v>
      </c>
    </row>
    <row r="1325" spans="1:12" x14ac:dyDescent="0.3">
      <c r="A1325" s="1">
        <v>46172</v>
      </c>
      <c r="B1325" t="s">
        <v>9</v>
      </c>
      <c r="C1325" t="s">
        <v>10</v>
      </c>
      <c r="D1325" t="s">
        <v>11</v>
      </c>
      <c r="E1325">
        <v>1034</v>
      </c>
      <c r="F1325">
        <v>15</v>
      </c>
      <c r="G1325">
        <v>10</v>
      </c>
      <c r="H1325">
        <v>1019</v>
      </c>
      <c r="I1325">
        <v>1.4506769825918759</v>
      </c>
      <c r="J1325">
        <v>98.549323017408113</v>
      </c>
      <c r="K1325" t="str">
        <f>_xlfn.XLOOKUP(tblProduction[[#This Row],[Product]],tblProducts[Product],tblProducts[Category],"Not Found")</f>
        <v>Precision</v>
      </c>
      <c r="L1325">
        <f>_xlfn.XLOOKUP(tblProduction[[#This Row],[Product]],tblProducts[Product],tblProducts[Target_Units],"Not Found")</f>
        <v>950</v>
      </c>
    </row>
    <row r="1326" spans="1:12" x14ac:dyDescent="0.3">
      <c r="A1326" s="1">
        <v>46172</v>
      </c>
      <c r="B1326" t="s">
        <v>9</v>
      </c>
      <c r="C1326" t="s">
        <v>12</v>
      </c>
      <c r="D1326" t="s">
        <v>14</v>
      </c>
      <c r="E1326">
        <v>750</v>
      </c>
      <c r="F1326">
        <v>17</v>
      </c>
      <c r="G1326">
        <v>89</v>
      </c>
      <c r="H1326">
        <v>733</v>
      </c>
      <c r="I1326">
        <v>2.2666666666666671</v>
      </c>
      <c r="J1326">
        <v>97.733333333333334</v>
      </c>
      <c r="K1326" t="str">
        <f>_xlfn.XLOOKUP(tblProduction[[#This Row],[Product]],tblProducts[Product],tblProducts[Category],"Not Found")</f>
        <v>Assembly</v>
      </c>
      <c r="L1326">
        <f>_xlfn.XLOOKUP(tblProduction[[#This Row],[Product]],tblProducts[Product],tblProducts[Target_Units],"Not Found")</f>
        <v>850</v>
      </c>
    </row>
    <row r="1327" spans="1:12" x14ac:dyDescent="0.3">
      <c r="A1327" s="1">
        <v>46172</v>
      </c>
      <c r="B1327" t="s">
        <v>9</v>
      </c>
      <c r="C1327" t="s">
        <v>13</v>
      </c>
      <c r="D1327" t="s">
        <v>14</v>
      </c>
      <c r="E1327">
        <v>727</v>
      </c>
      <c r="F1327">
        <v>23</v>
      </c>
      <c r="G1327">
        <v>87</v>
      </c>
      <c r="H1327">
        <v>704</v>
      </c>
      <c r="I1327">
        <v>3.1636863823933981</v>
      </c>
      <c r="J1327">
        <v>96.836313617606606</v>
      </c>
      <c r="K1327" t="str">
        <f>_xlfn.XLOOKUP(tblProduction[[#This Row],[Product]],tblProducts[Product],tblProducts[Category],"Not Found")</f>
        <v>Assembly</v>
      </c>
      <c r="L1327">
        <f>_xlfn.XLOOKUP(tblProduction[[#This Row],[Product]],tblProducts[Product],tblProducts[Target_Units],"Not Found")</f>
        <v>850</v>
      </c>
    </row>
    <row r="1328" spans="1:12" x14ac:dyDescent="0.3">
      <c r="A1328" s="1">
        <v>46172</v>
      </c>
      <c r="B1328" t="s">
        <v>15</v>
      </c>
      <c r="C1328" t="s">
        <v>10</v>
      </c>
      <c r="D1328" t="s">
        <v>14</v>
      </c>
      <c r="E1328">
        <v>805</v>
      </c>
      <c r="F1328">
        <v>26</v>
      </c>
      <c r="G1328">
        <v>48</v>
      </c>
      <c r="H1328">
        <v>779</v>
      </c>
      <c r="I1328">
        <v>3.2298136645962732</v>
      </c>
      <c r="J1328">
        <v>96.770186335403736</v>
      </c>
      <c r="K1328" t="str">
        <f>_xlfn.XLOOKUP(tblProduction[[#This Row],[Product]],tblProducts[Product],tblProducts[Category],"Not Found")</f>
        <v>Assembly</v>
      </c>
      <c r="L1328">
        <f>_xlfn.XLOOKUP(tblProduction[[#This Row],[Product]],tblProducts[Product],tblProducts[Target_Units],"Not Found")</f>
        <v>850</v>
      </c>
    </row>
    <row r="1329" spans="1:12" x14ac:dyDescent="0.3">
      <c r="A1329" s="1">
        <v>46172</v>
      </c>
      <c r="B1329" t="s">
        <v>15</v>
      </c>
      <c r="C1329" t="s">
        <v>12</v>
      </c>
      <c r="D1329" t="s">
        <v>14</v>
      </c>
      <c r="E1329">
        <v>690</v>
      </c>
      <c r="F1329">
        <v>22</v>
      </c>
      <c r="G1329">
        <v>66</v>
      </c>
      <c r="H1329">
        <v>668</v>
      </c>
      <c r="I1329">
        <v>3.1884057971014488</v>
      </c>
      <c r="J1329">
        <v>96.811594202898561</v>
      </c>
      <c r="K1329" t="str">
        <f>_xlfn.XLOOKUP(tblProduction[[#This Row],[Product]],tblProducts[Product],tblProducts[Category],"Not Found")</f>
        <v>Assembly</v>
      </c>
      <c r="L1329">
        <f>_xlfn.XLOOKUP(tblProduction[[#This Row],[Product]],tblProducts[Product],tblProducts[Target_Units],"Not Found")</f>
        <v>850</v>
      </c>
    </row>
    <row r="1330" spans="1:12" x14ac:dyDescent="0.3">
      <c r="A1330" s="1">
        <v>46172</v>
      </c>
      <c r="B1330" t="s">
        <v>15</v>
      </c>
      <c r="C1330" t="s">
        <v>13</v>
      </c>
      <c r="D1330" t="s">
        <v>14</v>
      </c>
      <c r="E1330">
        <v>679</v>
      </c>
      <c r="F1330">
        <v>29</v>
      </c>
      <c r="G1330">
        <v>27</v>
      </c>
      <c r="H1330">
        <v>650</v>
      </c>
      <c r="I1330">
        <v>4.2709867452135493</v>
      </c>
      <c r="J1330">
        <v>95.729013254786452</v>
      </c>
      <c r="K1330" t="str">
        <f>_xlfn.XLOOKUP(tblProduction[[#This Row],[Product]],tblProducts[Product],tblProducts[Category],"Not Found")</f>
        <v>Assembly</v>
      </c>
      <c r="L1330">
        <f>_xlfn.XLOOKUP(tblProduction[[#This Row],[Product]],tblProducts[Product],tblProducts[Target_Units],"Not Found")</f>
        <v>850</v>
      </c>
    </row>
    <row r="1331" spans="1:12" x14ac:dyDescent="0.3">
      <c r="A1331" s="1">
        <v>46172</v>
      </c>
      <c r="B1331" t="s">
        <v>17</v>
      </c>
      <c r="C1331" t="s">
        <v>10</v>
      </c>
      <c r="D1331" t="s">
        <v>16</v>
      </c>
      <c r="E1331">
        <v>781</v>
      </c>
      <c r="F1331">
        <v>27</v>
      </c>
      <c r="G1331">
        <v>60</v>
      </c>
      <c r="H1331">
        <v>754</v>
      </c>
      <c r="I1331">
        <v>3.4571062740076832</v>
      </c>
      <c r="J1331">
        <v>96.542893725992315</v>
      </c>
      <c r="K1331" t="str">
        <f>_xlfn.XLOOKUP(tblProduction[[#This Row],[Product]],tblProducts[Product],tblProducts[Category],"Not Found")</f>
        <v>Standard</v>
      </c>
      <c r="L1331">
        <f>_xlfn.XLOOKUP(tblProduction[[#This Row],[Product]],tblProducts[Product],tblProducts[Target_Units],"Not Found")</f>
        <v>1000</v>
      </c>
    </row>
    <row r="1332" spans="1:12" x14ac:dyDescent="0.3">
      <c r="A1332" s="1">
        <v>46172</v>
      </c>
      <c r="B1332" t="s">
        <v>17</v>
      </c>
      <c r="C1332" t="s">
        <v>12</v>
      </c>
      <c r="D1332" t="s">
        <v>18</v>
      </c>
      <c r="E1332">
        <v>773</v>
      </c>
      <c r="F1332">
        <v>27</v>
      </c>
      <c r="G1332">
        <v>0</v>
      </c>
      <c r="H1332">
        <v>746</v>
      </c>
      <c r="I1332">
        <v>3.492884864165589</v>
      </c>
      <c r="J1332">
        <v>96.507115135834411</v>
      </c>
      <c r="K1332" t="str">
        <f>_xlfn.XLOOKUP(tblProduction[[#This Row],[Product]],tblProducts[Product],tblProducts[Category],"Not Found")</f>
        <v>Assembly</v>
      </c>
      <c r="L1332">
        <f>_xlfn.XLOOKUP(tblProduction[[#This Row],[Product]],tblProducts[Product],tblProducts[Target_Units],"Not Found")</f>
        <v>900</v>
      </c>
    </row>
    <row r="1333" spans="1:12" x14ac:dyDescent="0.3">
      <c r="A1333" s="1">
        <v>46172</v>
      </c>
      <c r="B1333" t="s">
        <v>17</v>
      </c>
      <c r="C1333" t="s">
        <v>13</v>
      </c>
      <c r="D1333" t="s">
        <v>18</v>
      </c>
      <c r="E1333">
        <v>676</v>
      </c>
      <c r="F1333">
        <v>30</v>
      </c>
      <c r="G1333">
        <v>31</v>
      </c>
      <c r="H1333">
        <v>646</v>
      </c>
      <c r="I1333">
        <v>4.4378698224852071</v>
      </c>
      <c r="J1333">
        <v>95.562130177514788</v>
      </c>
      <c r="K1333" t="str">
        <f>_xlfn.XLOOKUP(tblProduction[[#This Row],[Product]],tblProducts[Product],tblProducts[Category],"Not Found")</f>
        <v>Assembly</v>
      </c>
      <c r="L1333">
        <f>_xlfn.XLOOKUP(tblProduction[[#This Row],[Product]],tblProducts[Product],tblProducts[Target_Units],"Not Found")</f>
        <v>900</v>
      </c>
    </row>
    <row r="1334" spans="1:12" x14ac:dyDescent="0.3">
      <c r="A1334" s="1">
        <v>46173</v>
      </c>
      <c r="B1334" t="s">
        <v>9</v>
      </c>
      <c r="C1334" t="s">
        <v>10</v>
      </c>
      <c r="D1334" t="s">
        <v>14</v>
      </c>
      <c r="E1334">
        <v>830</v>
      </c>
      <c r="F1334">
        <v>19</v>
      </c>
      <c r="G1334">
        <v>90</v>
      </c>
      <c r="H1334">
        <v>811</v>
      </c>
      <c r="I1334">
        <v>2.2891566265060241</v>
      </c>
      <c r="J1334">
        <v>97.710843373493972</v>
      </c>
      <c r="K1334" t="str">
        <f>_xlfn.XLOOKUP(tblProduction[[#This Row],[Product]],tblProducts[Product],tblProducts[Category],"Not Found")</f>
        <v>Assembly</v>
      </c>
      <c r="L1334">
        <f>_xlfn.XLOOKUP(tblProduction[[#This Row],[Product]],tblProducts[Product],tblProducts[Target_Units],"Not Found")</f>
        <v>850</v>
      </c>
    </row>
    <row r="1335" spans="1:12" x14ac:dyDescent="0.3">
      <c r="A1335" s="1">
        <v>46173</v>
      </c>
      <c r="B1335" t="s">
        <v>9</v>
      </c>
      <c r="C1335" t="s">
        <v>12</v>
      </c>
      <c r="D1335" t="s">
        <v>14</v>
      </c>
      <c r="E1335">
        <v>860</v>
      </c>
      <c r="F1335">
        <v>19</v>
      </c>
      <c r="G1335">
        <v>20</v>
      </c>
      <c r="H1335">
        <v>841</v>
      </c>
      <c r="I1335">
        <v>2.2093023255813948</v>
      </c>
      <c r="J1335">
        <v>97.79069767441861</v>
      </c>
      <c r="K1335" t="str">
        <f>_xlfn.XLOOKUP(tblProduction[[#This Row],[Product]],tblProducts[Product],tblProducts[Category],"Not Found")</f>
        <v>Assembly</v>
      </c>
      <c r="L1335">
        <f>_xlfn.XLOOKUP(tblProduction[[#This Row],[Product]],tblProducts[Product],tblProducts[Target_Units],"Not Found")</f>
        <v>850</v>
      </c>
    </row>
    <row r="1336" spans="1:12" x14ac:dyDescent="0.3">
      <c r="A1336" s="1">
        <v>46173</v>
      </c>
      <c r="B1336" t="s">
        <v>9</v>
      </c>
      <c r="C1336" t="s">
        <v>13</v>
      </c>
      <c r="D1336" t="s">
        <v>16</v>
      </c>
      <c r="E1336">
        <v>1000</v>
      </c>
      <c r="F1336">
        <v>25</v>
      </c>
      <c r="G1336">
        <v>1</v>
      </c>
      <c r="H1336">
        <v>975</v>
      </c>
      <c r="I1336">
        <v>2.5</v>
      </c>
      <c r="J1336">
        <v>97.5</v>
      </c>
      <c r="K1336" t="str">
        <f>_xlfn.XLOOKUP(tblProduction[[#This Row],[Product]],tblProducts[Product],tblProducts[Category],"Not Found")</f>
        <v>Standard</v>
      </c>
      <c r="L1336">
        <f>_xlfn.XLOOKUP(tblProduction[[#This Row],[Product]],tblProducts[Product],tblProducts[Target_Units],"Not Found")</f>
        <v>1000</v>
      </c>
    </row>
    <row r="1337" spans="1:12" x14ac:dyDescent="0.3">
      <c r="A1337" s="1">
        <v>46173</v>
      </c>
      <c r="B1337" t="s">
        <v>15</v>
      </c>
      <c r="C1337" t="s">
        <v>10</v>
      </c>
      <c r="D1337" t="s">
        <v>16</v>
      </c>
      <c r="E1337">
        <v>1000</v>
      </c>
      <c r="F1337">
        <v>25</v>
      </c>
      <c r="G1337">
        <v>26</v>
      </c>
      <c r="H1337">
        <v>975</v>
      </c>
      <c r="I1337">
        <v>2.5</v>
      </c>
      <c r="J1337">
        <v>97.5</v>
      </c>
      <c r="K1337" t="str">
        <f>_xlfn.XLOOKUP(tblProduction[[#This Row],[Product]],tblProducts[Product],tblProducts[Category],"Not Found")</f>
        <v>Standard</v>
      </c>
      <c r="L1337">
        <f>_xlfn.XLOOKUP(tblProduction[[#This Row],[Product]],tblProducts[Product],tblProducts[Target_Units],"Not Found")</f>
        <v>1000</v>
      </c>
    </row>
    <row r="1338" spans="1:12" x14ac:dyDescent="0.3">
      <c r="A1338" s="1">
        <v>46173</v>
      </c>
      <c r="B1338" t="s">
        <v>15</v>
      </c>
      <c r="C1338" t="s">
        <v>12</v>
      </c>
      <c r="D1338" t="s">
        <v>16</v>
      </c>
      <c r="E1338">
        <v>885</v>
      </c>
      <c r="F1338">
        <v>22</v>
      </c>
      <c r="G1338">
        <v>17</v>
      </c>
      <c r="H1338">
        <v>863</v>
      </c>
      <c r="I1338">
        <v>2.485875706214689</v>
      </c>
      <c r="J1338">
        <v>97.514124293785315</v>
      </c>
      <c r="K1338" t="str">
        <f>_xlfn.XLOOKUP(tblProduction[[#This Row],[Product]],tblProducts[Product],tblProducts[Category],"Not Found")</f>
        <v>Standard</v>
      </c>
      <c r="L1338">
        <f>_xlfn.XLOOKUP(tblProduction[[#This Row],[Product]],tblProducts[Product],tblProducts[Target_Units],"Not Found")</f>
        <v>1000</v>
      </c>
    </row>
    <row r="1339" spans="1:12" x14ac:dyDescent="0.3">
      <c r="A1339" s="1">
        <v>46173</v>
      </c>
      <c r="B1339" t="s">
        <v>15</v>
      </c>
      <c r="C1339" t="s">
        <v>13</v>
      </c>
      <c r="D1339" t="s">
        <v>18</v>
      </c>
      <c r="E1339">
        <v>725</v>
      </c>
      <c r="F1339">
        <v>25</v>
      </c>
      <c r="G1339">
        <v>69</v>
      </c>
      <c r="H1339">
        <v>700</v>
      </c>
      <c r="I1339">
        <v>3.4482758620689649</v>
      </c>
      <c r="J1339">
        <v>96.551724137931032</v>
      </c>
      <c r="K1339" t="str">
        <f>_xlfn.XLOOKUP(tblProduction[[#This Row],[Product]],tblProducts[Product],tblProducts[Category],"Not Found")</f>
        <v>Assembly</v>
      </c>
      <c r="L1339">
        <f>_xlfn.XLOOKUP(tblProduction[[#This Row],[Product]],tblProducts[Product],tblProducts[Target_Units],"Not Found")</f>
        <v>900</v>
      </c>
    </row>
    <row r="1340" spans="1:12" x14ac:dyDescent="0.3">
      <c r="A1340" s="1">
        <v>46173</v>
      </c>
      <c r="B1340" t="s">
        <v>17</v>
      </c>
      <c r="C1340" t="s">
        <v>10</v>
      </c>
      <c r="D1340" t="s">
        <v>14</v>
      </c>
      <c r="E1340">
        <v>660</v>
      </c>
      <c r="F1340">
        <v>28</v>
      </c>
      <c r="G1340">
        <v>77</v>
      </c>
      <c r="H1340">
        <v>632</v>
      </c>
      <c r="I1340">
        <v>4.2424242424242431</v>
      </c>
      <c r="J1340">
        <v>95.757575757575751</v>
      </c>
      <c r="K1340" t="str">
        <f>_xlfn.XLOOKUP(tblProduction[[#This Row],[Product]],tblProducts[Product],tblProducts[Category],"Not Found")</f>
        <v>Assembly</v>
      </c>
      <c r="L1340">
        <f>_xlfn.XLOOKUP(tblProduction[[#This Row],[Product]],tblProducts[Product],tblProducts[Target_Units],"Not Found")</f>
        <v>850</v>
      </c>
    </row>
    <row r="1341" spans="1:12" x14ac:dyDescent="0.3">
      <c r="A1341" s="1">
        <v>46173</v>
      </c>
      <c r="B1341" t="s">
        <v>17</v>
      </c>
      <c r="C1341" t="s">
        <v>12</v>
      </c>
      <c r="D1341" t="s">
        <v>14</v>
      </c>
      <c r="E1341">
        <v>672</v>
      </c>
      <c r="F1341">
        <v>28</v>
      </c>
      <c r="G1341">
        <v>37</v>
      </c>
      <c r="H1341">
        <v>644</v>
      </c>
      <c r="I1341">
        <v>4.1666666666666661</v>
      </c>
      <c r="J1341">
        <v>95.833333333333343</v>
      </c>
      <c r="K1341" t="str">
        <f>_xlfn.XLOOKUP(tblProduction[[#This Row],[Product]],tblProducts[Product],tblProducts[Category],"Not Found")</f>
        <v>Assembly</v>
      </c>
      <c r="L1341">
        <f>_xlfn.XLOOKUP(tblProduction[[#This Row],[Product]],tblProducts[Product],tblProducts[Target_Units],"Not Found")</f>
        <v>850</v>
      </c>
    </row>
    <row r="1342" spans="1:12" x14ac:dyDescent="0.3">
      <c r="A1342" s="1">
        <v>46173</v>
      </c>
      <c r="B1342" t="s">
        <v>17</v>
      </c>
      <c r="C1342" t="s">
        <v>13</v>
      </c>
      <c r="D1342" t="s">
        <v>18</v>
      </c>
      <c r="E1342">
        <v>684</v>
      </c>
      <c r="F1342">
        <v>30</v>
      </c>
      <c r="G1342">
        <v>45</v>
      </c>
      <c r="H1342">
        <v>654</v>
      </c>
      <c r="I1342">
        <v>4.3859649122807012</v>
      </c>
      <c r="J1342">
        <v>95.614035087719301</v>
      </c>
      <c r="K1342" t="str">
        <f>_xlfn.XLOOKUP(tblProduction[[#This Row],[Product]],tblProducts[Product],tblProducts[Category],"Not Found")</f>
        <v>Assembly</v>
      </c>
      <c r="L1342">
        <f>_xlfn.XLOOKUP(tblProduction[[#This Row],[Product]],tblProducts[Product],tblProducts[Target_Units],"Not Found")</f>
        <v>900</v>
      </c>
    </row>
    <row r="1343" spans="1:12" x14ac:dyDescent="0.3">
      <c r="A1343" s="1">
        <v>46174</v>
      </c>
      <c r="B1343" t="s">
        <v>9</v>
      </c>
      <c r="C1343" t="s">
        <v>10</v>
      </c>
      <c r="D1343" t="s">
        <v>11</v>
      </c>
      <c r="E1343">
        <v>1027</v>
      </c>
      <c r="F1343">
        <v>15</v>
      </c>
      <c r="G1343">
        <v>36</v>
      </c>
      <c r="H1343">
        <v>1012</v>
      </c>
      <c r="I1343">
        <v>1.4605647517039919</v>
      </c>
      <c r="J1343">
        <v>98.539435248296002</v>
      </c>
      <c r="K1343" t="str">
        <f>_xlfn.XLOOKUP(tblProduction[[#This Row],[Product]],tblProducts[Product],tblProducts[Category],"Not Found")</f>
        <v>Precision</v>
      </c>
      <c r="L1343">
        <f>_xlfn.XLOOKUP(tblProduction[[#This Row],[Product]],tblProducts[Product],tblProducts[Target_Units],"Not Found")</f>
        <v>950</v>
      </c>
    </row>
    <row r="1344" spans="1:12" x14ac:dyDescent="0.3">
      <c r="A1344" s="1">
        <v>46174</v>
      </c>
      <c r="B1344" t="s">
        <v>9</v>
      </c>
      <c r="C1344" t="s">
        <v>12</v>
      </c>
      <c r="D1344" t="s">
        <v>18</v>
      </c>
      <c r="E1344">
        <v>890</v>
      </c>
      <c r="F1344">
        <v>13</v>
      </c>
      <c r="G1344">
        <v>37</v>
      </c>
      <c r="H1344">
        <v>877</v>
      </c>
      <c r="I1344">
        <v>1.460674157303371</v>
      </c>
      <c r="J1344">
        <v>98.539325842696641</v>
      </c>
      <c r="K1344" t="str">
        <f>_xlfn.XLOOKUP(tblProduction[[#This Row],[Product]],tblProducts[Product],tblProducts[Category],"Not Found")</f>
        <v>Assembly</v>
      </c>
      <c r="L1344">
        <f>_xlfn.XLOOKUP(tblProduction[[#This Row],[Product]],tblProducts[Product],tblProducts[Target_Units],"Not Found")</f>
        <v>900</v>
      </c>
    </row>
    <row r="1345" spans="1:12" x14ac:dyDescent="0.3">
      <c r="A1345" s="1">
        <v>46174</v>
      </c>
      <c r="B1345" t="s">
        <v>9</v>
      </c>
      <c r="C1345" t="s">
        <v>13</v>
      </c>
      <c r="D1345" t="s">
        <v>16</v>
      </c>
      <c r="E1345">
        <v>885</v>
      </c>
      <c r="F1345">
        <v>22</v>
      </c>
      <c r="G1345">
        <v>25</v>
      </c>
      <c r="H1345">
        <v>863</v>
      </c>
      <c r="I1345">
        <v>2.485875706214689</v>
      </c>
      <c r="J1345">
        <v>97.514124293785315</v>
      </c>
      <c r="K1345" t="str">
        <f>_xlfn.XLOOKUP(tblProduction[[#This Row],[Product]],tblProducts[Product],tblProducts[Category],"Not Found")</f>
        <v>Standard</v>
      </c>
      <c r="L1345">
        <f>_xlfn.XLOOKUP(tblProduction[[#This Row],[Product]],tblProducts[Product],tblProducts[Target_Units],"Not Found")</f>
        <v>1000</v>
      </c>
    </row>
    <row r="1346" spans="1:12" x14ac:dyDescent="0.3">
      <c r="A1346" s="1">
        <v>46174</v>
      </c>
      <c r="B1346" t="s">
        <v>15</v>
      </c>
      <c r="C1346" t="s">
        <v>10</v>
      </c>
      <c r="D1346" t="s">
        <v>16</v>
      </c>
      <c r="E1346">
        <v>876</v>
      </c>
      <c r="F1346">
        <v>21</v>
      </c>
      <c r="G1346">
        <v>80</v>
      </c>
      <c r="H1346">
        <v>855</v>
      </c>
      <c r="I1346">
        <v>2.397260273972603</v>
      </c>
      <c r="J1346">
        <v>97.602739726027394</v>
      </c>
      <c r="K1346" t="str">
        <f>_xlfn.XLOOKUP(tblProduction[[#This Row],[Product]],tblProducts[Product],tblProducts[Category],"Not Found")</f>
        <v>Standard</v>
      </c>
      <c r="L1346">
        <f>_xlfn.XLOOKUP(tblProduction[[#This Row],[Product]],tblProducts[Product],tblProducts[Target_Units],"Not Found")</f>
        <v>1000</v>
      </c>
    </row>
    <row r="1347" spans="1:12" x14ac:dyDescent="0.3">
      <c r="A1347" s="1">
        <v>46174</v>
      </c>
      <c r="B1347" t="s">
        <v>15</v>
      </c>
      <c r="C1347" t="s">
        <v>12</v>
      </c>
      <c r="D1347" t="s">
        <v>18</v>
      </c>
      <c r="E1347">
        <v>814</v>
      </c>
      <c r="F1347">
        <v>20</v>
      </c>
      <c r="G1347">
        <v>36</v>
      </c>
      <c r="H1347">
        <v>794</v>
      </c>
      <c r="I1347">
        <v>2.4570024570024569</v>
      </c>
      <c r="J1347">
        <v>97.54299754299754</v>
      </c>
      <c r="K1347" t="str">
        <f>_xlfn.XLOOKUP(tblProduction[[#This Row],[Product]],tblProducts[Product],tblProducts[Category],"Not Found")</f>
        <v>Assembly</v>
      </c>
      <c r="L1347">
        <f>_xlfn.XLOOKUP(tblProduction[[#This Row],[Product]],tblProducts[Product],tblProducts[Target_Units],"Not Found")</f>
        <v>900</v>
      </c>
    </row>
    <row r="1348" spans="1:12" x14ac:dyDescent="0.3">
      <c r="A1348" s="1">
        <v>46174</v>
      </c>
      <c r="B1348" t="s">
        <v>15</v>
      </c>
      <c r="C1348" t="s">
        <v>13</v>
      </c>
      <c r="D1348" t="s">
        <v>16</v>
      </c>
      <c r="E1348">
        <v>761</v>
      </c>
      <c r="F1348">
        <v>26</v>
      </c>
      <c r="G1348">
        <v>82</v>
      </c>
      <c r="H1348">
        <v>735</v>
      </c>
      <c r="I1348">
        <v>3.4165571616294348</v>
      </c>
      <c r="J1348">
        <v>96.583442838370573</v>
      </c>
      <c r="K1348" t="str">
        <f>_xlfn.XLOOKUP(tblProduction[[#This Row],[Product]],tblProducts[Product],tblProducts[Category],"Not Found")</f>
        <v>Standard</v>
      </c>
      <c r="L1348">
        <f>_xlfn.XLOOKUP(tblProduction[[#This Row],[Product]],tblProducts[Product],tblProducts[Target_Units],"Not Found")</f>
        <v>1000</v>
      </c>
    </row>
    <row r="1349" spans="1:12" x14ac:dyDescent="0.3">
      <c r="A1349" s="1">
        <v>46174</v>
      </c>
      <c r="B1349" t="s">
        <v>17</v>
      </c>
      <c r="C1349" t="s">
        <v>10</v>
      </c>
      <c r="D1349" t="s">
        <v>18</v>
      </c>
      <c r="E1349">
        <v>681</v>
      </c>
      <c r="F1349">
        <v>23</v>
      </c>
      <c r="G1349">
        <v>71</v>
      </c>
      <c r="H1349">
        <v>658</v>
      </c>
      <c r="I1349">
        <v>3.3773861967694572</v>
      </c>
      <c r="J1349">
        <v>96.622613803230536</v>
      </c>
      <c r="K1349" t="str">
        <f>_xlfn.XLOOKUP(tblProduction[[#This Row],[Product]],tblProducts[Product],tblProducts[Category],"Not Found")</f>
        <v>Assembly</v>
      </c>
      <c r="L1349">
        <f>_xlfn.XLOOKUP(tblProduction[[#This Row],[Product]],tblProducts[Product],tblProducts[Target_Units],"Not Found")</f>
        <v>900</v>
      </c>
    </row>
    <row r="1350" spans="1:12" x14ac:dyDescent="0.3">
      <c r="A1350" s="1">
        <v>46174</v>
      </c>
      <c r="B1350" t="s">
        <v>17</v>
      </c>
      <c r="C1350" t="s">
        <v>12</v>
      </c>
      <c r="D1350" t="s">
        <v>18</v>
      </c>
      <c r="E1350">
        <v>724</v>
      </c>
      <c r="F1350">
        <v>25</v>
      </c>
      <c r="G1350">
        <v>41</v>
      </c>
      <c r="H1350">
        <v>699</v>
      </c>
      <c r="I1350">
        <v>3.45303867403315</v>
      </c>
      <c r="J1350">
        <v>96.546961325966848</v>
      </c>
      <c r="K1350" t="str">
        <f>_xlfn.XLOOKUP(tblProduction[[#This Row],[Product]],tblProducts[Product],tblProducts[Category],"Not Found")</f>
        <v>Assembly</v>
      </c>
      <c r="L1350">
        <f>_xlfn.XLOOKUP(tblProduction[[#This Row],[Product]],tblProducts[Product],tblProducts[Target_Units],"Not Found")</f>
        <v>900</v>
      </c>
    </row>
    <row r="1351" spans="1:12" x14ac:dyDescent="0.3">
      <c r="A1351" s="1">
        <v>46174</v>
      </c>
      <c r="B1351" t="s">
        <v>17</v>
      </c>
      <c r="C1351" t="s">
        <v>13</v>
      </c>
      <c r="D1351" t="s">
        <v>11</v>
      </c>
      <c r="E1351">
        <v>641</v>
      </c>
      <c r="F1351">
        <v>28</v>
      </c>
      <c r="G1351">
        <v>73</v>
      </c>
      <c r="H1351">
        <v>613</v>
      </c>
      <c r="I1351">
        <v>4.3681747269890794</v>
      </c>
      <c r="J1351">
        <v>95.631825273010918</v>
      </c>
      <c r="K1351" t="str">
        <f>_xlfn.XLOOKUP(tblProduction[[#This Row],[Product]],tblProducts[Product],tblProducts[Category],"Not Found")</f>
        <v>Precision</v>
      </c>
      <c r="L1351">
        <f>_xlfn.XLOOKUP(tblProduction[[#This Row],[Product]],tblProducts[Product],tblProducts[Target_Units],"Not Found")</f>
        <v>950</v>
      </c>
    </row>
    <row r="1352" spans="1:12" x14ac:dyDescent="0.3">
      <c r="A1352" s="1">
        <v>46175</v>
      </c>
      <c r="B1352" t="s">
        <v>9</v>
      </c>
      <c r="C1352" t="s">
        <v>10</v>
      </c>
      <c r="D1352" t="s">
        <v>11</v>
      </c>
      <c r="E1352">
        <v>922</v>
      </c>
      <c r="F1352">
        <v>13</v>
      </c>
      <c r="G1352">
        <v>79</v>
      </c>
      <c r="H1352">
        <v>909</v>
      </c>
      <c r="I1352">
        <v>1.40997830802603</v>
      </c>
      <c r="J1352">
        <v>98.590021691973973</v>
      </c>
      <c r="K1352" t="str">
        <f>_xlfn.XLOOKUP(tblProduction[[#This Row],[Product]],tblProducts[Product],tblProducts[Category],"Not Found")</f>
        <v>Precision</v>
      </c>
      <c r="L1352">
        <f>_xlfn.XLOOKUP(tblProduction[[#This Row],[Product]],tblProducts[Product],tblProducts[Target_Units],"Not Found")</f>
        <v>950</v>
      </c>
    </row>
    <row r="1353" spans="1:12" x14ac:dyDescent="0.3">
      <c r="A1353" s="1">
        <v>46175</v>
      </c>
      <c r="B1353" t="s">
        <v>9</v>
      </c>
      <c r="C1353" t="s">
        <v>12</v>
      </c>
      <c r="D1353" t="s">
        <v>11</v>
      </c>
      <c r="E1353">
        <v>894</v>
      </c>
      <c r="F1353">
        <v>13</v>
      </c>
      <c r="G1353">
        <v>59</v>
      </c>
      <c r="H1353">
        <v>881</v>
      </c>
      <c r="I1353">
        <v>1.4541387024608501</v>
      </c>
      <c r="J1353">
        <v>98.545861297539147</v>
      </c>
      <c r="K1353" t="str">
        <f>_xlfn.XLOOKUP(tblProduction[[#This Row],[Product]],tblProducts[Product],tblProducts[Category],"Not Found")</f>
        <v>Precision</v>
      </c>
      <c r="L1353">
        <f>_xlfn.XLOOKUP(tblProduction[[#This Row],[Product]],tblProducts[Product],tblProducts[Target_Units],"Not Found")</f>
        <v>950</v>
      </c>
    </row>
    <row r="1354" spans="1:12" x14ac:dyDescent="0.3">
      <c r="A1354" s="1">
        <v>46175</v>
      </c>
      <c r="B1354" t="s">
        <v>9</v>
      </c>
      <c r="C1354" t="s">
        <v>13</v>
      </c>
      <c r="D1354" t="s">
        <v>11</v>
      </c>
      <c r="E1354">
        <v>915</v>
      </c>
      <c r="F1354">
        <v>22</v>
      </c>
      <c r="G1354">
        <v>1</v>
      </c>
      <c r="H1354">
        <v>893</v>
      </c>
      <c r="I1354">
        <v>2.404371584699454</v>
      </c>
      <c r="J1354">
        <v>97.595628415300553</v>
      </c>
      <c r="K1354" t="str">
        <f>_xlfn.XLOOKUP(tblProduction[[#This Row],[Product]],tblProducts[Product],tblProducts[Category],"Not Found")</f>
        <v>Precision</v>
      </c>
      <c r="L1354">
        <f>_xlfn.XLOOKUP(tblProduction[[#This Row],[Product]],tblProducts[Product],tblProducts[Target_Units],"Not Found")</f>
        <v>950</v>
      </c>
    </row>
    <row r="1355" spans="1:12" x14ac:dyDescent="0.3">
      <c r="A1355" s="1">
        <v>46175</v>
      </c>
      <c r="B1355" t="s">
        <v>15</v>
      </c>
      <c r="C1355" t="s">
        <v>10</v>
      </c>
      <c r="D1355" t="s">
        <v>18</v>
      </c>
      <c r="E1355">
        <v>855</v>
      </c>
      <c r="F1355">
        <v>21</v>
      </c>
      <c r="G1355">
        <v>30</v>
      </c>
      <c r="H1355">
        <v>834</v>
      </c>
      <c r="I1355">
        <v>2.4561403508771931</v>
      </c>
      <c r="J1355">
        <v>97.543859649122808</v>
      </c>
      <c r="K1355" t="str">
        <f>_xlfn.XLOOKUP(tblProduction[[#This Row],[Product]],tblProducts[Product],tblProducts[Category],"Not Found")</f>
        <v>Assembly</v>
      </c>
      <c r="L1355">
        <f>_xlfn.XLOOKUP(tblProduction[[#This Row],[Product]],tblProducts[Product],tblProducts[Target_Units],"Not Found")</f>
        <v>900</v>
      </c>
    </row>
    <row r="1356" spans="1:12" x14ac:dyDescent="0.3">
      <c r="A1356" s="1">
        <v>46175</v>
      </c>
      <c r="B1356" t="s">
        <v>15</v>
      </c>
      <c r="C1356" t="s">
        <v>12</v>
      </c>
      <c r="D1356" t="s">
        <v>14</v>
      </c>
      <c r="E1356">
        <v>689</v>
      </c>
      <c r="F1356">
        <v>22</v>
      </c>
      <c r="G1356">
        <v>77</v>
      </c>
      <c r="H1356">
        <v>667</v>
      </c>
      <c r="I1356">
        <v>3.1930333817126271</v>
      </c>
      <c r="J1356">
        <v>96.806966618287376</v>
      </c>
      <c r="K1356" t="str">
        <f>_xlfn.XLOOKUP(tblProduction[[#This Row],[Product]],tblProducts[Product],tblProducts[Category],"Not Found")</f>
        <v>Assembly</v>
      </c>
      <c r="L1356">
        <f>_xlfn.XLOOKUP(tblProduction[[#This Row],[Product]],tblProducts[Product],tblProducts[Target_Units],"Not Found")</f>
        <v>850</v>
      </c>
    </row>
    <row r="1357" spans="1:12" x14ac:dyDescent="0.3">
      <c r="A1357" s="1">
        <v>46175</v>
      </c>
      <c r="B1357" t="s">
        <v>15</v>
      </c>
      <c r="C1357" t="s">
        <v>13</v>
      </c>
      <c r="D1357" t="s">
        <v>11</v>
      </c>
      <c r="E1357">
        <v>679</v>
      </c>
      <c r="F1357">
        <v>23</v>
      </c>
      <c r="G1357">
        <v>87</v>
      </c>
      <c r="H1357">
        <v>656</v>
      </c>
      <c r="I1357">
        <v>3.3873343151693671</v>
      </c>
      <c r="J1357">
        <v>96.612665684830631</v>
      </c>
      <c r="K1357" t="str">
        <f>_xlfn.XLOOKUP(tblProduction[[#This Row],[Product]],tblProducts[Product],tblProducts[Category],"Not Found")</f>
        <v>Precision</v>
      </c>
      <c r="L1357">
        <f>_xlfn.XLOOKUP(tblProduction[[#This Row],[Product]],tblProducts[Product],tblProducts[Target_Units],"Not Found")</f>
        <v>950</v>
      </c>
    </row>
    <row r="1358" spans="1:12" x14ac:dyDescent="0.3">
      <c r="A1358" s="1">
        <v>46175</v>
      </c>
      <c r="B1358" t="s">
        <v>17</v>
      </c>
      <c r="C1358" t="s">
        <v>10</v>
      </c>
      <c r="D1358" t="s">
        <v>18</v>
      </c>
      <c r="E1358">
        <v>778</v>
      </c>
      <c r="F1358">
        <v>27</v>
      </c>
      <c r="G1358">
        <v>39</v>
      </c>
      <c r="H1358">
        <v>751</v>
      </c>
      <c r="I1358">
        <v>3.4704370179948589</v>
      </c>
      <c r="J1358">
        <v>96.529562982005146</v>
      </c>
      <c r="K1358" t="str">
        <f>_xlfn.XLOOKUP(tblProduction[[#This Row],[Product]],tblProducts[Product],tblProducts[Category],"Not Found")</f>
        <v>Assembly</v>
      </c>
      <c r="L1358">
        <f>_xlfn.XLOOKUP(tblProduction[[#This Row],[Product]],tblProducts[Product],tblProducts[Target_Units],"Not Found")</f>
        <v>900</v>
      </c>
    </row>
    <row r="1359" spans="1:12" x14ac:dyDescent="0.3">
      <c r="A1359" s="1">
        <v>46175</v>
      </c>
      <c r="B1359" t="s">
        <v>17</v>
      </c>
      <c r="C1359" t="s">
        <v>12</v>
      </c>
      <c r="D1359" t="s">
        <v>16</v>
      </c>
      <c r="E1359">
        <v>726</v>
      </c>
      <c r="F1359">
        <v>25</v>
      </c>
      <c r="G1359">
        <v>78</v>
      </c>
      <c r="H1359">
        <v>701</v>
      </c>
      <c r="I1359">
        <v>3.443526170798898</v>
      </c>
      <c r="J1359">
        <v>96.55647382920111</v>
      </c>
      <c r="K1359" t="str">
        <f>_xlfn.XLOOKUP(tblProduction[[#This Row],[Product]],tblProducts[Product],tblProducts[Category],"Not Found")</f>
        <v>Standard</v>
      </c>
      <c r="L1359">
        <f>_xlfn.XLOOKUP(tblProduction[[#This Row],[Product]],tblProducts[Product],tblProducts[Target_Units],"Not Found")</f>
        <v>1000</v>
      </c>
    </row>
    <row r="1360" spans="1:12" x14ac:dyDescent="0.3">
      <c r="A1360" s="1">
        <v>46175</v>
      </c>
      <c r="B1360" t="s">
        <v>17</v>
      </c>
      <c r="C1360" t="s">
        <v>13</v>
      </c>
      <c r="D1360" t="s">
        <v>18</v>
      </c>
      <c r="E1360">
        <v>625</v>
      </c>
      <c r="F1360">
        <v>28</v>
      </c>
      <c r="G1360">
        <v>54</v>
      </c>
      <c r="H1360">
        <v>597</v>
      </c>
      <c r="I1360">
        <v>4.4800000000000004</v>
      </c>
      <c r="J1360">
        <v>95.52000000000001</v>
      </c>
      <c r="K1360" t="str">
        <f>_xlfn.XLOOKUP(tblProduction[[#This Row],[Product]],tblProducts[Product],tblProducts[Category],"Not Found")</f>
        <v>Assembly</v>
      </c>
      <c r="L1360">
        <f>_xlfn.XLOOKUP(tblProduction[[#This Row],[Product]],tblProducts[Product],tblProducts[Target_Units],"Not Found")</f>
        <v>900</v>
      </c>
    </row>
    <row r="1361" spans="1:12" x14ac:dyDescent="0.3">
      <c r="A1361" s="1">
        <v>46176</v>
      </c>
      <c r="B1361" t="s">
        <v>9</v>
      </c>
      <c r="C1361" t="s">
        <v>10</v>
      </c>
      <c r="D1361" t="s">
        <v>18</v>
      </c>
      <c r="E1361">
        <v>878</v>
      </c>
      <c r="F1361">
        <v>13</v>
      </c>
      <c r="G1361">
        <v>80</v>
      </c>
      <c r="H1361">
        <v>865</v>
      </c>
      <c r="I1361">
        <v>1.480637813211845</v>
      </c>
      <c r="J1361">
        <v>98.519362186788157</v>
      </c>
      <c r="K1361" t="str">
        <f>_xlfn.XLOOKUP(tblProduction[[#This Row],[Product]],tblProducts[Product],tblProducts[Category],"Not Found")</f>
        <v>Assembly</v>
      </c>
      <c r="L1361">
        <f>_xlfn.XLOOKUP(tblProduction[[#This Row],[Product]],tblProducts[Product],tblProducts[Target_Units],"Not Found")</f>
        <v>900</v>
      </c>
    </row>
    <row r="1362" spans="1:12" x14ac:dyDescent="0.3">
      <c r="A1362" s="1">
        <v>46176</v>
      </c>
      <c r="B1362" t="s">
        <v>9</v>
      </c>
      <c r="C1362" t="s">
        <v>12</v>
      </c>
      <c r="D1362" t="s">
        <v>14</v>
      </c>
      <c r="E1362">
        <v>884</v>
      </c>
      <c r="F1362">
        <v>20</v>
      </c>
      <c r="G1362">
        <v>2</v>
      </c>
      <c r="H1362">
        <v>864</v>
      </c>
      <c r="I1362">
        <v>2.2624434389140271</v>
      </c>
      <c r="J1362">
        <v>97.737556561085967</v>
      </c>
      <c r="K1362" t="str">
        <f>_xlfn.XLOOKUP(tblProduction[[#This Row],[Product]],tblProducts[Product],tblProducts[Category],"Not Found")</f>
        <v>Assembly</v>
      </c>
      <c r="L1362">
        <f>_xlfn.XLOOKUP(tblProduction[[#This Row],[Product]],tblProducts[Product],tblProducts[Target_Units],"Not Found")</f>
        <v>850</v>
      </c>
    </row>
    <row r="1363" spans="1:12" x14ac:dyDescent="0.3">
      <c r="A1363" s="1">
        <v>46176</v>
      </c>
      <c r="B1363" t="s">
        <v>9</v>
      </c>
      <c r="C1363" t="s">
        <v>13</v>
      </c>
      <c r="D1363" t="s">
        <v>11</v>
      </c>
      <c r="E1363">
        <v>784</v>
      </c>
      <c r="F1363">
        <v>19</v>
      </c>
      <c r="G1363">
        <v>87</v>
      </c>
      <c r="H1363">
        <v>765</v>
      </c>
      <c r="I1363">
        <v>2.4234693877551021</v>
      </c>
      <c r="J1363">
        <v>97.576530612244895</v>
      </c>
      <c r="K1363" t="str">
        <f>_xlfn.XLOOKUP(tblProduction[[#This Row],[Product]],tblProducts[Product],tblProducts[Category],"Not Found")</f>
        <v>Precision</v>
      </c>
      <c r="L1363">
        <f>_xlfn.XLOOKUP(tblProduction[[#This Row],[Product]],tblProducts[Product],tblProducts[Target_Units],"Not Found")</f>
        <v>950</v>
      </c>
    </row>
    <row r="1364" spans="1:12" x14ac:dyDescent="0.3">
      <c r="A1364" s="1">
        <v>46176</v>
      </c>
      <c r="B1364" t="s">
        <v>15</v>
      </c>
      <c r="C1364" t="s">
        <v>10</v>
      </c>
      <c r="D1364" t="s">
        <v>18</v>
      </c>
      <c r="E1364">
        <v>891</v>
      </c>
      <c r="F1364">
        <v>22</v>
      </c>
      <c r="G1364">
        <v>23</v>
      </c>
      <c r="H1364">
        <v>869</v>
      </c>
      <c r="I1364">
        <v>2.4691358024691361</v>
      </c>
      <c r="J1364">
        <v>97.53086419753086</v>
      </c>
      <c r="K1364" t="str">
        <f>_xlfn.XLOOKUP(tblProduction[[#This Row],[Product]],tblProducts[Product],tblProducts[Category],"Not Found")</f>
        <v>Assembly</v>
      </c>
      <c r="L1364">
        <f>_xlfn.XLOOKUP(tblProduction[[#This Row],[Product]],tblProducts[Product],tblProducts[Target_Units],"Not Found")</f>
        <v>900</v>
      </c>
    </row>
    <row r="1365" spans="1:12" x14ac:dyDescent="0.3">
      <c r="A1365" s="1">
        <v>46176</v>
      </c>
      <c r="B1365" t="s">
        <v>15</v>
      </c>
      <c r="C1365" t="s">
        <v>12</v>
      </c>
      <c r="D1365" t="s">
        <v>16</v>
      </c>
      <c r="E1365">
        <v>894</v>
      </c>
      <c r="F1365">
        <v>22</v>
      </c>
      <c r="G1365">
        <v>26</v>
      </c>
      <c r="H1365">
        <v>872</v>
      </c>
      <c r="I1365">
        <v>2.4608501118568231</v>
      </c>
      <c r="J1365">
        <v>97.539149888143172</v>
      </c>
      <c r="K1365" t="str">
        <f>_xlfn.XLOOKUP(tblProduction[[#This Row],[Product]],tblProducts[Product],tblProducts[Category],"Not Found")</f>
        <v>Standard</v>
      </c>
      <c r="L1365">
        <f>_xlfn.XLOOKUP(tblProduction[[#This Row],[Product]],tblProducts[Product],tblProducts[Target_Units],"Not Found")</f>
        <v>1000</v>
      </c>
    </row>
    <row r="1366" spans="1:12" x14ac:dyDescent="0.3">
      <c r="A1366" s="1">
        <v>46176</v>
      </c>
      <c r="B1366" t="s">
        <v>15</v>
      </c>
      <c r="C1366" t="s">
        <v>13</v>
      </c>
      <c r="D1366" t="s">
        <v>18</v>
      </c>
      <c r="E1366">
        <v>725</v>
      </c>
      <c r="F1366">
        <v>25</v>
      </c>
      <c r="G1366">
        <v>37</v>
      </c>
      <c r="H1366">
        <v>700</v>
      </c>
      <c r="I1366">
        <v>3.4482758620689649</v>
      </c>
      <c r="J1366">
        <v>96.551724137931032</v>
      </c>
      <c r="K1366" t="str">
        <f>_xlfn.XLOOKUP(tblProduction[[#This Row],[Product]],tblProducts[Product],tblProducts[Category],"Not Found")</f>
        <v>Assembly</v>
      </c>
      <c r="L1366">
        <f>_xlfn.XLOOKUP(tblProduction[[#This Row],[Product]],tblProducts[Product],tblProducts[Target_Units],"Not Found")</f>
        <v>900</v>
      </c>
    </row>
    <row r="1367" spans="1:12" x14ac:dyDescent="0.3">
      <c r="A1367" s="1">
        <v>46176</v>
      </c>
      <c r="B1367" t="s">
        <v>17</v>
      </c>
      <c r="C1367" t="s">
        <v>10</v>
      </c>
      <c r="D1367" t="s">
        <v>14</v>
      </c>
      <c r="E1367">
        <v>741</v>
      </c>
      <c r="F1367">
        <v>31</v>
      </c>
      <c r="G1367">
        <v>36</v>
      </c>
      <c r="H1367">
        <v>710</v>
      </c>
      <c r="I1367">
        <v>4.1835357624831309</v>
      </c>
      <c r="J1367">
        <v>95.816464237516868</v>
      </c>
      <c r="K1367" t="str">
        <f>_xlfn.XLOOKUP(tblProduction[[#This Row],[Product]],tblProducts[Product],tblProducts[Category],"Not Found")</f>
        <v>Assembly</v>
      </c>
      <c r="L1367">
        <f>_xlfn.XLOOKUP(tblProduction[[#This Row],[Product]],tblProducts[Product],tblProducts[Target_Units],"Not Found")</f>
        <v>850</v>
      </c>
    </row>
    <row r="1368" spans="1:12" x14ac:dyDescent="0.3">
      <c r="A1368" s="1">
        <v>46176</v>
      </c>
      <c r="B1368" t="s">
        <v>17</v>
      </c>
      <c r="C1368" t="s">
        <v>12</v>
      </c>
      <c r="D1368" t="s">
        <v>18</v>
      </c>
      <c r="E1368">
        <v>756</v>
      </c>
      <c r="F1368">
        <v>26</v>
      </c>
      <c r="G1368">
        <v>1</v>
      </c>
      <c r="H1368">
        <v>730</v>
      </c>
      <c r="I1368">
        <v>3.4391534391534391</v>
      </c>
      <c r="J1368">
        <v>96.560846560846556</v>
      </c>
      <c r="K1368" t="str">
        <f>_xlfn.XLOOKUP(tblProduction[[#This Row],[Product]],tblProducts[Product],tblProducts[Category],"Not Found")</f>
        <v>Assembly</v>
      </c>
      <c r="L1368">
        <f>_xlfn.XLOOKUP(tblProduction[[#This Row],[Product]],tblProducts[Product],tblProducts[Target_Units],"Not Found")</f>
        <v>900</v>
      </c>
    </row>
    <row r="1369" spans="1:12" x14ac:dyDescent="0.3">
      <c r="A1369" s="1">
        <v>46176</v>
      </c>
      <c r="B1369" t="s">
        <v>17</v>
      </c>
      <c r="C1369" t="s">
        <v>13</v>
      </c>
      <c r="D1369" t="s">
        <v>14</v>
      </c>
      <c r="E1369">
        <v>649</v>
      </c>
      <c r="F1369">
        <v>34</v>
      </c>
      <c r="G1369">
        <v>0</v>
      </c>
      <c r="H1369">
        <v>615</v>
      </c>
      <c r="I1369">
        <v>5.2388289676425268</v>
      </c>
      <c r="J1369">
        <v>94.761171032357467</v>
      </c>
      <c r="K1369" t="str">
        <f>_xlfn.XLOOKUP(tblProduction[[#This Row],[Product]],tblProducts[Product],tblProducts[Category],"Not Found")</f>
        <v>Assembly</v>
      </c>
      <c r="L1369">
        <f>_xlfn.XLOOKUP(tblProduction[[#This Row],[Product]],tblProducts[Product],tblProducts[Target_Units],"Not Found")</f>
        <v>850</v>
      </c>
    </row>
    <row r="1370" spans="1:12" x14ac:dyDescent="0.3">
      <c r="A1370" s="1">
        <v>46177</v>
      </c>
      <c r="B1370" t="s">
        <v>9</v>
      </c>
      <c r="C1370" t="s">
        <v>10</v>
      </c>
      <c r="D1370" t="s">
        <v>18</v>
      </c>
      <c r="E1370">
        <v>855</v>
      </c>
      <c r="F1370">
        <v>12</v>
      </c>
      <c r="G1370">
        <v>72</v>
      </c>
      <c r="H1370">
        <v>843</v>
      </c>
      <c r="I1370">
        <v>1.403508771929824</v>
      </c>
      <c r="J1370">
        <v>98.596491228070164</v>
      </c>
      <c r="K1370" t="str">
        <f>_xlfn.XLOOKUP(tblProduction[[#This Row],[Product]],tblProducts[Product],tblProducts[Category],"Not Found")</f>
        <v>Assembly</v>
      </c>
      <c r="L1370">
        <f>_xlfn.XLOOKUP(tblProduction[[#This Row],[Product]],tblProducts[Product],tblProducts[Target_Units],"Not Found")</f>
        <v>900</v>
      </c>
    </row>
    <row r="1371" spans="1:12" x14ac:dyDescent="0.3">
      <c r="A1371" s="1">
        <v>46177</v>
      </c>
      <c r="B1371" t="s">
        <v>9</v>
      </c>
      <c r="C1371" t="s">
        <v>12</v>
      </c>
      <c r="D1371" t="s">
        <v>14</v>
      </c>
      <c r="E1371">
        <v>876</v>
      </c>
      <c r="F1371">
        <v>20</v>
      </c>
      <c r="G1371">
        <v>30</v>
      </c>
      <c r="H1371">
        <v>856</v>
      </c>
      <c r="I1371">
        <v>2.2831050228310499</v>
      </c>
      <c r="J1371">
        <v>97.716894977168948</v>
      </c>
      <c r="K1371" t="str">
        <f>_xlfn.XLOOKUP(tblProduction[[#This Row],[Product]],tblProducts[Product],tblProducts[Category],"Not Found")</f>
        <v>Assembly</v>
      </c>
      <c r="L1371">
        <f>_xlfn.XLOOKUP(tblProduction[[#This Row],[Product]],tblProducts[Product],tblProducts[Target_Units],"Not Found")</f>
        <v>850</v>
      </c>
    </row>
    <row r="1372" spans="1:12" x14ac:dyDescent="0.3">
      <c r="A1372" s="1">
        <v>46177</v>
      </c>
      <c r="B1372" t="s">
        <v>9</v>
      </c>
      <c r="C1372" t="s">
        <v>13</v>
      </c>
      <c r="D1372" t="s">
        <v>18</v>
      </c>
      <c r="E1372">
        <v>890</v>
      </c>
      <c r="F1372">
        <v>22</v>
      </c>
      <c r="G1372">
        <v>6</v>
      </c>
      <c r="H1372">
        <v>868</v>
      </c>
      <c r="I1372">
        <v>2.4719101123595499</v>
      </c>
      <c r="J1372">
        <v>97.528089887640448</v>
      </c>
      <c r="K1372" t="str">
        <f>_xlfn.XLOOKUP(tblProduction[[#This Row],[Product]],tblProducts[Product],tblProducts[Category],"Not Found")</f>
        <v>Assembly</v>
      </c>
      <c r="L1372">
        <f>_xlfn.XLOOKUP(tblProduction[[#This Row],[Product]],tblProducts[Product],tblProducts[Target_Units],"Not Found")</f>
        <v>900</v>
      </c>
    </row>
    <row r="1373" spans="1:12" x14ac:dyDescent="0.3">
      <c r="A1373" s="1">
        <v>46177</v>
      </c>
      <c r="B1373" t="s">
        <v>15</v>
      </c>
      <c r="C1373" t="s">
        <v>10</v>
      </c>
      <c r="D1373" t="s">
        <v>18</v>
      </c>
      <c r="E1373">
        <v>748</v>
      </c>
      <c r="F1373">
        <v>18</v>
      </c>
      <c r="G1373">
        <v>77</v>
      </c>
      <c r="H1373">
        <v>730</v>
      </c>
      <c r="I1373">
        <v>2.4064171122994651</v>
      </c>
      <c r="J1373">
        <v>97.593582887700535</v>
      </c>
      <c r="K1373" t="str">
        <f>_xlfn.XLOOKUP(tblProduction[[#This Row],[Product]],tblProducts[Product],tblProducts[Category],"Not Found")</f>
        <v>Assembly</v>
      </c>
      <c r="L1373">
        <f>_xlfn.XLOOKUP(tblProduction[[#This Row],[Product]],tblProducts[Product],tblProducts[Target_Units],"Not Found")</f>
        <v>900</v>
      </c>
    </row>
    <row r="1374" spans="1:12" x14ac:dyDescent="0.3">
      <c r="A1374" s="1">
        <v>46177</v>
      </c>
      <c r="B1374" t="s">
        <v>15</v>
      </c>
      <c r="C1374" t="s">
        <v>12</v>
      </c>
      <c r="D1374" t="s">
        <v>18</v>
      </c>
      <c r="E1374">
        <v>834</v>
      </c>
      <c r="F1374">
        <v>20</v>
      </c>
      <c r="G1374">
        <v>15</v>
      </c>
      <c r="H1374">
        <v>814</v>
      </c>
      <c r="I1374">
        <v>2.398081534772182</v>
      </c>
      <c r="J1374">
        <v>97.601918465227826</v>
      </c>
      <c r="K1374" t="str">
        <f>_xlfn.XLOOKUP(tblProduction[[#This Row],[Product]],tblProducts[Product],tblProducts[Category],"Not Found")</f>
        <v>Assembly</v>
      </c>
      <c r="L1374">
        <f>_xlfn.XLOOKUP(tblProduction[[#This Row],[Product]],tblProducts[Product],tblProducts[Target_Units],"Not Found")</f>
        <v>900</v>
      </c>
    </row>
    <row r="1375" spans="1:12" x14ac:dyDescent="0.3">
      <c r="A1375" s="1">
        <v>46177</v>
      </c>
      <c r="B1375" t="s">
        <v>15</v>
      </c>
      <c r="C1375" t="s">
        <v>13</v>
      </c>
      <c r="D1375" t="s">
        <v>16</v>
      </c>
      <c r="E1375">
        <v>757</v>
      </c>
      <c r="F1375">
        <v>26</v>
      </c>
      <c r="G1375">
        <v>79</v>
      </c>
      <c r="H1375">
        <v>731</v>
      </c>
      <c r="I1375">
        <v>3.4346103038309121</v>
      </c>
      <c r="J1375">
        <v>96.565389696169092</v>
      </c>
      <c r="K1375" t="str">
        <f>_xlfn.XLOOKUP(tblProduction[[#This Row],[Product]],tblProducts[Product],tblProducts[Category],"Not Found")</f>
        <v>Standard</v>
      </c>
      <c r="L1375">
        <f>_xlfn.XLOOKUP(tblProduction[[#This Row],[Product]],tblProducts[Product],tblProducts[Target_Units],"Not Found")</f>
        <v>1000</v>
      </c>
    </row>
    <row r="1376" spans="1:12" x14ac:dyDescent="0.3">
      <c r="A1376" s="1">
        <v>46177</v>
      </c>
      <c r="B1376" t="s">
        <v>17</v>
      </c>
      <c r="C1376" t="s">
        <v>10</v>
      </c>
      <c r="D1376" t="s">
        <v>11</v>
      </c>
      <c r="E1376">
        <v>800</v>
      </c>
      <c r="F1376">
        <v>28</v>
      </c>
      <c r="G1376">
        <v>13</v>
      </c>
      <c r="H1376">
        <v>772</v>
      </c>
      <c r="I1376">
        <v>3.5</v>
      </c>
      <c r="J1376">
        <v>96.5</v>
      </c>
      <c r="K1376" t="str">
        <f>_xlfn.XLOOKUP(tblProduction[[#This Row],[Product]],tblProducts[Product],tblProducts[Category],"Not Found")</f>
        <v>Precision</v>
      </c>
      <c r="L1376">
        <f>_xlfn.XLOOKUP(tblProduction[[#This Row],[Product]],tblProducts[Product],tblProducts[Target_Units],"Not Found")</f>
        <v>950</v>
      </c>
    </row>
    <row r="1377" spans="1:12" x14ac:dyDescent="0.3">
      <c r="A1377" s="1">
        <v>46177</v>
      </c>
      <c r="B1377" t="s">
        <v>17</v>
      </c>
      <c r="C1377" t="s">
        <v>12</v>
      </c>
      <c r="D1377" t="s">
        <v>14</v>
      </c>
      <c r="E1377">
        <v>682</v>
      </c>
      <c r="F1377">
        <v>29</v>
      </c>
      <c r="G1377">
        <v>43</v>
      </c>
      <c r="H1377">
        <v>653</v>
      </c>
      <c r="I1377">
        <v>4.2521994134897358</v>
      </c>
      <c r="J1377">
        <v>95.747800586510266</v>
      </c>
      <c r="K1377" t="str">
        <f>_xlfn.XLOOKUP(tblProduction[[#This Row],[Product]],tblProducts[Product],tblProducts[Category],"Not Found")</f>
        <v>Assembly</v>
      </c>
      <c r="L1377">
        <f>_xlfn.XLOOKUP(tblProduction[[#This Row],[Product]],tblProducts[Product],tblProducts[Target_Units],"Not Found")</f>
        <v>850</v>
      </c>
    </row>
    <row r="1378" spans="1:12" x14ac:dyDescent="0.3">
      <c r="A1378" s="1">
        <v>46177</v>
      </c>
      <c r="B1378" t="s">
        <v>17</v>
      </c>
      <c r="C1378" t="s">
        <v>13</v>
      </c>
      <c r="D1378" t="s">
        <v>11</v>
      </c>
      <c r="E1378">
        <v>716</v>
      </c>
      <c r="F1378">
        <v>32</v>
      </c>
      <c r="G1378">
        <v>9</v>
      </c>
      <c r="H1378">
        <v>684</v>
      </c>
      <c r="I1378">
        <v>4.4692737430167604</v>
      </c>
      <c r="J1378">
        <v>95.530726256983243</v>
      </c>
      <c r="K1378" t="str">
        <f>_xlfn.XLOOKUP(tblProduction[[#This Row],[Product]],tblProducts[Product],tblProducts[Category],"Not Found")</f>
        <v>Precision</v>
      </c>
      <c r="L1378">
        <f>_xlfn.XLOOKUP(tblProduction[[#This Row],[Product]],tblProducts[Product],tblProducts[Target_Units],"Not Found")</f>
        <v>950</v>
      </c>
    </row>
    <row r="1379" spans="1:12" x14ac:dyDescent="0.3">
      <c r="A1379" s="1">
        <v>46178</v>
      </c>
      <c r="B1379" t="s">
        <v>9</v>
      </c>
      <c r="C1379" t="s">
        <v>10</v>
      </c>
      <c r="D1379" t="s">
        <v>14</v>
      </c>
      <c r="E1379">
        <v>896</v>
      </c>
      <c r="F1379">
        <v>20</v>
      </c>
      <c r="G1379">
        <v>47</v>
      </c>
      <c r="H1379">
        <v>876</v>
      </c>
      <c r="I1379">
        <v>2.2321428571428572</v>
      </c>
      <c r="J1379">
        <v>97.767857142857139</v>
      </c>
      <c r="K1379" t="str">
        <f>_xlfn.XLOOKUP(tblProduction[[#This Row],[Product]],tblProducts[Product],tblProducts[Category],"Not Found")</f>
        <v>Assembly</v>
      </c>
      <c r="L1379">
        <f>_xlfn.XLOOKUP(tblProduction[[#This Row],[Product]],tblProducts[Product],tblProducts[Target_Units],"Not Found")</f>
        <v>850</v>
      </c>
    </row>
    <row r="1380" spans="1:12" x14ac:dyDescent="0.3">
      <c r="A1380" s="1">
        <v>46178</v>
      </c>
      <c r="B1380" t="s">
        <v>9</v>
      </c>
      <c r="C1380" t="s">
        <v>12</v>
      </c>
      <c r="D1380" t="s">
        <v>11</v>
      </c>
      <c r="E1380">
        <v>901</v>
      </c>
      <c r="F1380">
        <v>13</v>
      </c>
      <c r="G1380">
        <v>54</v>
      </c>
      <c r="H1380">
        <v>888</v>
      </c>
      <c r="I1380">
        <v>1.44284128745838</v>
      </c>
      <c r="J1380">
        <v>98.557158712541622</v>
      </c>
      <c r="K1380" t="str">
        <f>_xlfn.XLOOKUP(tblProduction[[#This Row],[Product]],tblProducts[Product],tblProducts[Category],"Not Found")</f>
        <v>Precision</v>
      </c>
      <c r="L1380">
        <f>_xlfn.XLOOKUP(tblProduction[[#This Row],[Product]],tblProducts[Product],tblProducts[Target_Units],"Not Found")</f>
        <v>950</v>
      </c>
    </row>
    <row r="1381" spans="1:12" x14ac:dyDescent="0.3">
      <c r="A1381" s="1">
        <v>46178</v>
      </c>
      <c r="B1381" t="s">
        <v>9</v>
      </c>
      <c r="C1381" t="s">
        <v>13</v>
      </c>
      <c r="D1381" t="s">
        <v>16</v>
      </c>
      <c r="E1381">
        <v>868</v>
      </c>
      <c r="F1381">
        <v>21</v>
      </c>
      <c r="G1381">
        <v>78</v>
      </c>
      <c r="H1381">
        <v>847</v>
      </c>
      <c r="I1381">
        <v>2.419354838709677</v>
      </c>
      <c r="J1381">
        <v>97.58064516129032</v>
      </c>
      <c r="K1381" t="str">
        <f>_xlfn.XLOOKUP(tblProduction[[#This Row],[Product]],tblProducts[Product],tblProducts[Category],"Not Found")</f>
        <v>Standard</v>
      </c>
      <c r="L1381">
        <f>_xlfn.XLOOKUP(tblProduction[[#This Row],[Product]],tblProducts[Product],tblProducts[Target_Units],"Not Found")</f>
        <v>1000</v>
      </c>
    </row>
    <row r="1382" spans="1:12" x14ac:dyDescent="0.3">
      <c r="A1382" s="1">
        <v>46178</v>
      </c>
      <c r="B1382" t="s">
        <v>15</v>
      </c>
      <c r="C1382" t="s">
        <v>10</v>
      </c>
      <c r="D1382" t="s">
        <v>14</v>
      </c>
      <c r="E1382">
        <v>761</v>
      </c>
      <c r="F1382">
        <v>25</v>
      </c>
      <c r="G1382">
        <v>83</v>
      </c>
      <c r="H1382">
        <v>736</v>
      </c>
      <c r="I1382">
        <v>3.2851511169513801</v>
      </c>
      <c r="J1382">
        <v>96.714848883048617</v>
      </c>
      <c r="K1382" t="str">
        <f>_xlfn.XLOOKUP(tblProduction[[#This Row],[Product]],tblProducts[Product],tblProducts[Category],"Not Found")</f>
        <v>Assembly</v>
      </c>
      <c r="L1382">
        <f>_xlfn.XLOOKUP(tblProduction[[#This Row],[Product]],tblProducts[Product],tblProducts[Target_Units],"Not Found")</f>
        <v>850</v>
      </c>
    </row>
    <row r="1383" spans="1:12" x14ac:dyDescent="0.3">
      <c r="A1383" s="1">
        <v>46178</v>
      </c>
      <c r="B1383" t="s">
        <v>15</v>
      </c>
      <c r="C1383" t="s">
        <v>12</v>
      </c>
      <c r="D1383" t="s">
        <v>18</v>
      </c>
      <c r="E1383">
        <v>811</v>
      </c>
      <c r="F1383">
        <v>20</v>
      </c>
      <c r="G1383">
        <v>19</v>
      </c>
      <c r="H1383">
        <v>791</v>
      </c>
      <c r="I1383">
        <v>2.466091245376079</v>
      </c>
      <c r="J1383">
        <v>97.533908754623923</v>
      </c>
      <c r="K1383" t="str">
        <f>_xlfn.XLOOKUP(tblProduction[[#This Row],[Product]],tblProducts[Product],tblProducts[Category],"Not Found")</f>
        <v>Assembly</v>
      </c>
      <c r="L1383">
        <f>_xlfn.XLOOKUP(tblProduction[[#This Row],[Product]],tblProducts[Product],tblProducts[Target_Units],"Not Found")</f>
        <v>900</v>
      </c>
    </row>
    <row r="1384" spans="1:12" x14ac:dyDescent="0.3">
      <c r="A1384" s="1">
        <v>46178</v>
      </c>
      <c r="B1384" t="s">
        <v>15</v>
      </c>
      <c r="C1384" t="s">
        <v>13</v>
      </c>
      <c r="D1384" t="s">
        <v>14</v>
      </c>
      <c r="E1384">
        <v>663</v>
      </c>
      <c r="F1384">
        <v>28</v>
      </c>
      <c r="G1384">
        <v>71</v>
      </c>
      <c r="H1384">
        <v>635</v>
      </c>
      <c r="I1384">
        <v>4.2232277526395174</v>
      </c>
      <c r="J1384">
        <v>95.776772247360483</v>
      </c>
      <c r="K1384" t="str">
        <f>_xlfn.XLOOKUP(tblProduction[[#This Row],[Product]],tblProducts[Product],tblProducts[Category],"Not Found")</f>
        <v>Assembly</v>
      </c>
      <c r="L1384">
        <f>_xlfn.XLOOKUP(tblProduction[[#This Row],[Product]],tblProducts[Product],tblProducts[Target_Units],"Not Found")</f>
        <v>850</v>
      </c>
    </row>
    <row r="1385" spans="1:12" x14ac:dyDescent="0.3">
      <c r="A1385" s="1">
        <v>46178</v>
      </c>
      <c r="B1385" t="s">
        <v>17</v>
      </c>
      <c r="C1385" t="s">
        <v>10</v>
      </c>
      <c r="D1385" t="s">
        <v>18</v>
      </c>
      <c r="E1385">
        <v>724</v>
      </c>
      <c r="F1385">
        <v>25</v>
      </c>
      <c r="G1385">
        <v>44</v>
      </c>
      <c r="H1385">
        <v>699</v>
      </c>
      <c r="I1385">
        <v>3.45303867403315</v>
      </c>
      <c r="J1385">
        <v>96.546961325966848</v>
      </c>
      <c r="K1385" t="str">
        <f>_xlfn.XLOOKUP(tblProduction[[#This Row],[Product]],tblProducts[Product],tblProducts[Category],"Not Found")</f>
        <v>Assembly</v>
      </c>
      <c r="L1385">
        <f>_xlfn.XLOOKUP(tblProduction[[#This Row],[Product]],tblProducts[Product],tblProducts[Target_Units],"Not Found")</f>
        <v>900</v>
      </c>
    </row>
    <row r="1386" spans="1:12" x14ac:dyDescent="0.3">
      <c r="A1386" s="1">
        <v>46178</v>
      </c>
      <c r="B1386" t="s">
        <v>17</v>
      </c>
      <c r="C1386" t="s">
        <v>12</v>
      </c>
      <c r="D1386" t="s">
        <v>16</v>
      </c>
      <c r="E1386">
        <v>815</v>
      </c>
      <c r="F1386">
        <v>28</v>
      </c>
      <c r="G1386">
        <v>21</v>
      </c>
      <c r="H1386">
        <v>787</v>
      </c>
      <c r="I1386">
        <v>3.4355828220858902</v>
      </c>
      <c r="J1386">
        <v>96.564417177914109</v>
      </c>
      <c r="K1386" t="str">
        <f>_xlfn.XLOOKUP(tblProduction[[#This Row],[Product]],tblProducts[Product],tblProducts[Category],"Not Found")</f>
        <v>Standard</v>
      </c>
      <c r="L1386">
        <f>_xlfn.XLOOKUP(tblProduction[[#This Row],[Product]],tblProducts[Product],tblProducts[Target_Units],"Not Found")</f>
        <v>1000</v>
      </c>
    </row>
    <row r="1387" spans="1:12" x14ac:dyDescent="0.3">
      <c r="A1387" s="1">
        <v>46178</v>
      </c>
      <c r="B1387" t="s">
        <v>17</v>
      </c>
      <c r="C1387" t="s">
        <v>13</v>
      </c>
      <c r="D1387" t="s">
        <v>16</v>
      </c>
      <c r="E1387">
        <v>747</v>
      </c>
      <c r="F1387">
        <v>33</v>
      </c>
      <c r="G1387">
        <v>52</v>
      </c>
      <c r="H1387">
        <v>714</v>
      </c>
      <c r="I1387">
        <v>4.4176706827309236</v>
      </c>
      <c r="J1387">
        <v>95.582329317269071</v>
      </c>
      <c r="K1387" t="str">
        <f>_xlfn.XLOOKUP(tblProduction[[#This Row],[Product]],tblProducts[Product],tblProducts[Category],"Not Found")</f>
        <v>Standard</v>
      </c>
      <c r="L1387">
        <f>_xlfn.XLOOKUP(tblProduction[[#This Row],[Product]],tblProducts[Product],tblProducts[Target_Units],"Not Found")</f>
        <v>1000</v>
      </c>
    </row>
    <row r="1388" spans="1:12" x14ac:dyDescent="0.3">
      <c r="A1388" s="1">
        <v>46179</v>
      </c>
      <c r="B1388" t="s">
        <v>9</v>
      </c>
      <c r="C1388" t="s">
        <v>10</v>
      </c>
      <c r="D1388" t="s">
        <v>11</v>
      </c>
      <c r="E1388">
        <v>861</v>
      </c>
      <c r="F1388">
        <v>12</v>
      </c>
      <c r="G1388">
        <v>80</v>
      </c>
      <c r="H1388">
        <v>849</v>
      </c>
      <c r="I1388">
        <v>1.393728222996516</v>
      </c>
      <c r="J1388">
        <v>98.606271777003485</v>
      </c>
      <c r="K1388" t="str">
        <f>_xlfn.XLOOKUP(tblProduction[[#This Row],[Product]],tblProducts[Product],tblProducts[Category],"Not Found")</f>
        <v>Precision</v>
      </c>
      <c r="L1388">
        <f>_xlfn.XLOOKUP(tblProduction[[#This Row],[Product]],tblProducts[Product],tblProducts[Target_Units],"Not Found")</f>
        <v>950</v>
      </c>
    </row>
    <row r="1389" spans="1:12" x14ac:dyDescent="0.3">
      <c r="A1389" s="1">
        <v>46179</v>
      </c>
      <c r="B1389" t="s">
        <v>9</v>
      </c>
      <c r="C1389" t="s">
        <v>12</v>
      </c>
      <c r="D1389" t="s">
        <v>14</v>
      </c>
      <c r="E1389">
        <v>749</v>
      </c>
      <c r="F1389">
        <v>17</v>
      </c>
      <c r="G1389">
        <v>81</v>
      </c>
      <c r="H1389">
        <v>732</v>
      </c>
      <c r="I1389">
        <v>2.2696929238985319</v>
      </c>
      <c r="J1389">
        <v>97.730307076101468</v>
      </c>
      <c r="K1389" t="str">
        <f>_xlfn.XLOOKUP(tblProduction[[#This Row],[Product]],tblProducts[Product],tblProducts[Category],"Not Found")</f>
        <v>Assembly</v>
      </c>
      <c r="L1389">
        <f>_xlfn.XLOOKUP(tblProduction[[#This Row],[Product]],tblProducts[Product],tblProducts[Target_Units],"Not Found")</f>
        <v>850</v>
      </c>
    </row>
    <row r="1390" spans="1:12" x14ac:dyDescent="0.3">
      <c r="A1390" s="1">
        <v>46179</v>
      </c>
      <c r="B1390" t="s">
        <v>9</v>
      </c>
      <c r="C1390" t="s">
        <v>13</v>
      </c>
      <c r="D1390" t="s">
        <v>14</v>
      </c>
      <c r="E1390">
        <v>796</v>
      </c>
      <c r="F1390">
        <v>26</v>
      </c>
      <c r="G1390">
        <v>30</v>
      </c>
      <c r="H1390">
        <v>770</v>
      </c>
      <c r="I1390">
        <v>3.266331658291457</v>
      </c>
      <c r="J1390">
        <v>96.733668341708551</v>
      </c>
      <c r="K1390" t="str">
        <f>_xlfn.XLOOKUP(tblProduction[[#This Row],[Product]],tblProducts[Product],tblProducts[Category],"Not Found")</f>
        <v>Assembly</v>
      </c>
      <c r="L1390">
        <f>_xlfn.XLOOKUP(tblProduction[[#This Row],[Product]],tblProducts[Product],tblProducts[Target_Units],"Not Found")</f>
        <v>850</v>
      </c>
    </row>
    <row r="1391" spans="1:12" x14ac:dyDescent="0.3">
      <c r="A1391" s="1">
        <v>46179</v>
      </c>
      <c r="B1391" t="s">
        <v>15</v>
      </c>
      <c r="C1391" t="s">
        <v>10</v>
      </c>
      <c r="D1391" t="s">
        <v>18</v>
      </c>
      <c r="E1391">
        <v>796</v>
      </c>
      <c r="F1391">
        <v>19</v>
      </c>
      <c r="G1391">
        <v>51</v>
      </c>
      <c r="H1391">
        <v>777</v>
      </c>
      <c r="I1391">
        <v>2.386934673366834</v>
      </c>
      <c r="J1391">
        <v>97.613065326633162</v>
      </c>
      <c r="K1391" t="str">
        <f>_xlfn.XLOOKUP(tblProduction[[#This Row],[Product]],tblProducts[Product],tblProducts[Category],"Not Found")</f>
        <v>Assembly</v>
      </c>
      <c r="L1391">
        <f>_xlfn.XLOOKUP(tblProduction[[#This Row],[Product]],tblProducts[Product],tblProducts[Target_Units],"Not Found")</f>
        <v>900</v>
      </c>
    </row>
    <row r="1392" spans="1:12" x14ac:dyDescent="0.3">
      <c r="A1392" s="1">
        <v>46179</v>
      </c>
      <c r="B1392" t="s">
        <v>15</v>
      </c>
      <c r="C1392" t="s">
        <v>12</v>
      </c>
      <c r="D1392" t="s">
        <v>11</v>
      </c>
      <c r="E1392">
        <v>820</v>
      </c>
      <c r="F1392">
        <v>20</v>
      </c>
      <c r="G1392">
        <v>31</v>
      </c>
      <c r="H1392">
        <v>800</v>
      </c>
      <c r="I1392">
        <v>2.4390243902439019</v>
      </c>
      <c r="J1392">
        <v>97.560975609756099</v>
      </c>
      <c r="K1392" t="str">
        <f>_xlfn.XLOOKUP(tblProduction[[#This Row],[Product]],tblProducts[Product],tblProducts[Category],"Not Found")</f>
        <v>Precision</v>
      </c>
      <c r="L1392">
        <f>_xlfn.XLOOKUP(tblProduction[[#This Row],[Product]],tblProducts[Product],tblProducts[Target_Units],"Not Found")</f>
        <v>950</v>
      </c>
    </row>
    <row r="1393" spans="1:12" x14ac:dyDescent="0.3">
      <c r="A1393" s="1">
        <v>46179</v>
      </c>
      <c r="B1393" t="s">
        <v>15</v>
      </c>
      <c r="C1393" t="s">
        <v>13</v>
      </c>
      <c r="D1393" t="s">
        <v>16</v>
      </c>
      <c r="E1393">
        <v>821</v>
      </c>
      <c r="F1393">
        <v>28</v>
      </c>
      <c r="G1393">
        <v>27</v>
      </c>
      <c r="H1393">
        <v>793</v>
      </c>
      <c r="I1393">
        <v>3.4104750304506699</v>
      </c>
      <c r="J1393">
        <v>96.589524969549331</v>
      </c>
      <c r="K1393" t="str">
        <f>_xlfn.XLOOKUP(tblProduction[[#This Row],[Product]],tblProducts[Product],tblProducts[Category],"Not Found")</f>
        <v>Standard</v>
      </c>
      <c r="L1393">
        <f>_xlfn.XLOOKUP(tblProduction[[#This Row],[Product]],tblProducts[Product],tblProducts[Target_Units],"Not Found")</f>
        <v>1000</v>
      </c>
    </row>
    <row r="1394" spans="1:12" x14ac:dyDescent="0.3">
      <c r="A1394" s="1">
        <v>46179</v>
      </c>
      <c r="B1394" t="s">
        <v>17</v>
      </c>
      <c r="C1394" t="s">
        <v>10</v>
      </c>
      <c r="D1394" t="s">
        <v>16</v>
      </c>
      <c r="E1394">
        <v>775</v>
      </c>
      <c r="F1394">
        <v>27</v>
      </c>
      <c r="G1394">
        <v>68</v>
      </c>
      <c r="H1394">
        <v>748</v>
      </c>
      <c r="I1394">
        <v>3.4838709677419351</v>
      </c>
      <c r="J1394">
        <v>96.516129032258064</v>
      </c>
      <c r="K1394" t="str">
        <f>_xlfn.XLOOKUP(tblProduction[[#This Row],[Product]],tblProducts[Product],tblProducts[Category],"Not Found")</f>
        <v>Standard</v>
      </c>
      <c r="L1394">
        <f>_xlfn.XLOOKUP(tblProduction[[#This Row],[Product]],tblProducts[Product],tblProducts[Target_Units],"Not Found")</f>
        <v>1000</v>
      </c>
    </row>
    <row r="1395" spans="1:12" x14ac:dyDescent="0.3">
      <c r="A1395" s="1">
        <v>46179</v>
      </c>
      <c r="B1395" t="s">
        <v>17</v>
      </c>
      <c r="C1395" t="s">
        <v>12</v>
      </c>
      <c r="D1395" t="s">
        <v>11</v>
      </c>
      <c r="E1395">
        <v>769</v>
      </c>
      <c r="F1395">
        <v>26</v>
      </c>
      <c r="G1395">
        <v>50</v>
      </c>
      <c r="H1395">
        <v>743</v>
      </c>
      <c r="I1395">
        <v>3.3810143042912881</v>
      </c>
      <c r="J1395">
        <v>96.618985695708716</v>
      </c>
      <c r="K1395" t="str">
        <f>_xlfn.XLOOKUP(tblProduction[[#This Row],[Product]],tblProducts[Product],tblProducts[Category],"Not Found")</f>
        <v>Precision</v>
      </c>
      <c r="L1395">
        <f>_xlfn.XLOOKUP(tblProduction[[#This Row],[Product]],tblProducts[Product],tblProducts[Target_Units],"Not Found")</f>
        <v>950</v>
      </c>
    </row>
    <row r="1396" spans="1:12" x14ac:dyDescent="0.3">
      <c r="A1396" s="1">
        <v>46179</v>
      </c>
      <c r="B1396" t="s">
        <v>17</v>
      </c>
      <c r="C1396" t="s">
        <v>13</v>
      </c>
      <c r="D1396" t="s">
        <v>16</v>
      </c>
      <c r="E1396">
        <v>737</v>
      </c>
      <c r="F1396">
        <v>33</v>
      </c>
      <c r="G1396">
        <v>29</v>
      </c>
      <c r="H1396">
        <v>704</v>
      </c>
      <c r="I1396">
        <v>4.4776119402985071</v>
      </c>
      <c r="J1396">
        <v>95.522388059701484</v>
      </c>
      <c r="K1396" t="str">
        <f>_xlfn.XLOOKUP(tblProduction[[#This Row],[Product]],tblProducts[Product],tblProducts[Category],"Not Found")</f>
        <v>Standard</v>
      </c>
      <c r="L1396">
        <f>_xlfn.XLOOKUP(tblProduction[[#This Row],[Product]],tblProducts[Product],tblProducts[Target_Units],"Not Found")</f>
        <v>1000</v>
      </c>
    </row>
    <row r="1397" spans="1:12" x14ac:dyDescent="0.3">
      <c r="A1397" s="1">
        <v>46180</v>
      </c>
      <c r="B1397" t="s">
        <v>9</v>
      </c>
      <c r="C1397" t="s">
        <v>10</v>
      </c>
      <c r="D1397" t="s">
        <v>14</v>
      </c>
      <c r="E1397">
        <v>857</v>
      </c>
      <c r="F1397">
        <v>19</v>
      </c>
      <c r="G1397">
        <v>64</v>
      </c>
      <c r="H1397">
        <v>838</v>
      </c>
      <c r="I1397">
        <v>2.2170361726954488</v>
      </c>
      <c r="J1397">
        <v>97.782963827304542</v>
      </c>
      <c r="K1397" t="str">
        <f>_xlfn.XLOOKUP(tblProduction[[#This Row],[Product]],tblProducts[Product],tblProducts[Category],"Not Found")</f>
        <v>Assembly</v>
      </c>
      <c r="L1397">
        <f>_xlfn.XLOOKUP(tblProduction[[#This Row],[Product]],tblProducts[Product],tblProducts[Target_Units],"Not Found")</f>
        <v>850</v>
      </c>
    </row>
    <row r="1398" spans="1:12" x14ac:dyDescent="0.3">
      <c r="A1398" s="1">
        <v>46180</v>
      </c>
      <c r="B1398" t="s">
        <v>9</v>
      </c>
      <c r="C1398" t="s">
        <v>12</v>
      </c>
      <c r="D1398" t="s">
        <v>16</v>
      </c>
      <c r="E1398">
        <v>1014</v>
      </c>
      <c r="F1398">
        <v>15</v>
      </c>
      <c r="G1398">
        <v>26</v>
      </c>
      <c r="H1398">
        <v>999</v>
      </c>
      <c r="I1398">
        <v>1.4792899408284019</v>
      </c>
      <c r="J1398">
        <v>98.520710059171606</v>
      </c>
      <c r="K1398" t="str">
        <f>_xlfn.XLOOKUP(tblProduction[[#This Row],[Product]],tblProducts[Product],tblProducts[Category],"Not Found")</f>
        <v>Standard</v>
      </c>
      <c r="L1398">
        <f>_xlfn.XLOOKUP(tblProduction[[#This Row],[Product]],tblProducts[Product],tblProducts[Target_Units],"Not Found")</f>
        <v>1000</v>
      </c>
    </row>
    <row r="1399" spans="1:12" x14ac:dyDescent="0.3">
      <c r="A1399" s="1">
        <v>46180</v>
      </c>
      <c r="B1399" t="s">
        <v>9</v>
      </c>
      <c r="C1399" t="s">
        <v>13</v>
      </c>
      <c r="D1399" t="s">
        <v>11</v>
      </c>
      <c r="E1399">
        <v>866</v>
      </c>
      <c r="F1399">
        <v>21</v>
      </c>
      <c r="G1399">
        <v>6</v>
      </c>
      <c r="H1399">
        <v>845</v>
      </c>
      <c r="I1399">
        <v>2.424942263279446</v>
      </c>
      <c r="J1399">
        <v>97.575057736720552</v>
      </c>
      <c r="K1399" t="str">
        <f>_xlfn.XLOOKUP(tblProduction[[#This Row],[Product]],tblProducts[Product],tblProducts[Category],"Not Found")</f>
        <v>Precision</v>
      </c>
      <c r="L1399">
        <f>_xlfn.XLOOKUP(tblProduction[[#This Row],[Product]],tblProducts[Product],tblProducts[Target_Units],"Not Found")</f>
        <v>950</v>
      </c>
    </row>
    <row r="1400" spans="1:12" x14ac:dyDescent="0.3">
      <c r="A1400" s="1">
        <v>46180</v>
      </c>
      <c r="B1400" t="s">
        <v>15</v>
      </c>
      <c r="C1400" t="s">
        <v>10</v>
      </c>
      <c r="D1400" t="s">
        <v>16</v>
      </c>
      <c r="E1400">
        <v>938</v>
      </c>
      <c r="F1400">
        <v>23</v>
      </c>
      <c r="G1400">
        <v>13</v>
      </c>
      <c r="H1400">
        <v>915</v>
      </c>
      <c r="I1400">
        <v>2.452025586353944</v>
      </c>
      <c r="J1400">
        <v>97.54797441364606</v>
      </c>
      <c r="K1400" t="str">
        <f>_xlfn.XLOOKUP(tblProduction[[#This Row],[Product]],tblProducts[Product],tblProducts[Category],"Not Found")</f>
        <v>Standard</v>
      </c>
      <c r="L1400">
        <f>_xlfn.XLOOKUP(tblProduction[[#This Row],[Product]],tblProducts[Product],tblProducts[Target_Units],"Not Found")</f>
        <v>1000</v>
      </c>
    </row>
    <row r="1401" spans="1:12" x14ac:dyDescent="0.3">
      <c r="A1401" s="1">
        <v>46180</v>
      </c>
      <c r="B1401" t="s">
        <v>15</v>
      </c>
      <c r="C1401" t="s">
        <v>12</v>
      </c>
      <c r="D1401" t="s">
        <v>14</v>
      </c>
      <c r="E1401">
        <v>749</v>
      </c>
      <c r="F1401">
        <v>24</v>
      </c>
      <c r="G1401">
        <v>66</v>
      </c>
      <c r="H1401">
        <v>725</v>
      </c>
      <c r="I1401">
        <v>3.2042723631508681</v>
      </c>
      <c r="J1401">
        <v>96.795727636849122</v>
      </c>
      <c r="K1401" t="str">
        <f>_xlfn.XLOOKUP(tblProduction[[#This Row],[Product]],tblProducts[Product],tblProducts[Category],"Not Found")</f>
        <v>Assembly</v>
      </c>
      <c r="L1401">
        <f>_xlfn.XLOOKUP(tblProduction[[#This Row],[Product]],tblProducts[Product],tblProducts[Target_Units],"Not Found")</f>
        <v>850</v>
      </c>
    </row>
    <row r="1402" spans="1:12" x14ac:dyDescent="0.3">
      <c r="A1402" s="1">
        <v>46180</v>
      </c>
      <c r="B1402" t="s">
        <v>15</v>
      </c>
      <c r="C1402" t="s">
        <v>13</v>
      </c>
      <c r="D1402" t="s">
        <v>16</v>
      </c>
      <c r="E1402">
        <v>783</v>
      </c>
      <c r="F1402">
        <v>27</v>
      </c>
      <c r="G1402">
        <v>61</v>
      </c>
      <c r="H1402">
        <v>756</v>
      </c>
      <c r="I1402">
        <v>3.4482758620689649</v>
      </c>
      <c r="J1402">
        <v>96.551724137931032</v>
      </c>
      <c r="K1402" t="str">
        <f>_xlfn.XLOOKUP(tblProduction[[#This Row],[Product]],tblProducts[Product],tblProducts[Category],"Not Found")</f>
        <v>Standard</v>
      </c>
      <c r="L1402">
        <f>_xlfn.XLOOKUP(tblProduction[[#This Row],[Product]],tblProducts[Product],tblProducts[Target_Units],"Not Found")</f>
        <v>1000</v>
      </c>
    </row>
    <row r="1403" spans="1:12" x14ac:dyDescent="0.3">
      <c r="A1403" s="1">
        <v>46180</v>
      </c>
      <c r="B1403" t="s">
        <v>17</v>
      </c>
      <c r="C1403" t="s">
        <v>10</v>
      </c>
      <c r="D1403" t="s">
        <v>14</v>
      </c>
      <c r="E1403">
        <v>684</v>
      </c>
      <c r="F1403">
        <v>29</v>
      </c>
      <c r="G1403">
        <v>48</v>
      </c>
      <c r="H1403">
        <v>655</v>
      </c>
      <c r="I1403">
        <v>4.2397660818713447</v>
      </c>
      <c r="J1403">
        <v>95.760233918128662</v>
      </c>
      <c r="K1403" t="str">
        <f>_xlfn.XLOOKUP(tblProduction[[#This Row],[Product]],tblProducts[Product],tblProducts[Category],"Not Found")</f>
        <v>Assembly</v>
      </c>
      <c r="L1403">
        <f>_xlfn.XLOOKUP(tblProduction[[#This Row],[Product]],tblProducts[Product],tblProducts[Target_Units],"Not Found")</f>
        <v>850</v>
      </c>
    </row>
    <row r="1404" spans="1:12" x14ac:dyDescent="0.3">
      <c r="A1404" s="1">
        <v>46180</v>
      </c>
      <c r="B1404" t="s">
        <v>17</v>
      </c>
      <c r="C1404" t="s">
        <v>12</v>
      </c>
      <c r="D1404" t="s">
        <v>16</v>
      </c>
      <c r="E1404">
        <v>834</v>
      </c>
      <c r="F1404">
        <v>29</v>
      </c>
      <c r="G1404">
        <v>26</v>
      </c>
      <c r="H1404">
        <v>805</v>
      </c>
      <c r="I1404">
        <v>3.477218225419664</v>
      </c>
      <c r="J1404">
        <v>96.522781774580338</v>
      </c>
      <c r="K1404" t="str">
        <f>_xlfn.XLOOKUP(tblProduction[[#This Row],[Product]],tblProducts[Product],tblProducts[Category],"Not Found")</f>
        <v>Standard</v>
      </c>
      <c r="L1404">
        <f>_xlfn.XLOOKUP(tblProduction[[#This Row],[Product]],tblProducts[Product],tblProducts[Target_Units],"Not Found")</f>
        <v>1000</v>
      </c>
    </row>
    <row r="1405" spans="1:12" x14ac:dyDescent="0.3">
      <c r="A1405" s="1">
        <v>46180</v>
      </c>
      <c r="B1405" t="s">
        <v>17</v>
      </c>
      <c r="C1405" t="s">
        <v>13</v>
      </c>
      <c r="D1405" t="s">
        <v>16</v>
      </c>
      <c r="E1405">
        <v>717</v>
      </c>
      <c r="F1405">
        <v>32</v>
      </c>
      <c r="G1405">
        <v>40</v>
      </c>
      <c r="H1405">
        <v>685</v>
      </c>
      <c r="I1405">
        <v>4.4630404463040447</v>
      </c>
      <c r="J1405">
        <v>95.536959553695951</v>
      </c>
      <c r="K1405" t="str">
        <f>_xlfn.XLOOKUP(tblProduction[[#This Row],[Product]],tblProducts[Product],tblProducts[Category],"Not Found")</f>
        <v>Standard</v>
      </c>
      <c r="L1405">
        <f>_xlfn.XLOOKUP(tblProduction[[#This Row],[Product]],tblProducts[Product],tblProducts[Target_Units],"Not Found")</f>
        <v>1000</v>
      </c>
    </row>
    <row r="1406" spans="1:12" x14ac:dyDescent="0.3">
      <c r="A1406" s="1">
        <v>46181</v>
      </c>
      <c r="B1406" t="s">
        <v>9</v>
      </c>
      <c r="C1406" t="s">
        <v>10</v>
      </c>
      <c r="D1406" t="s">
        <v>11</v>
      </c>
      <c r="E1406">
        <v>953</v>
      </c>
      <c r="F1406">
        <v>14</v>
      </c>
      <c r="G1406">
        <v>63</v>
      </c>
      <c r="H1406">
        <v>939</v>
      </c>
      <c r="I1406">
        <v>1.4690451206715629</v>
      </c>
      <c r="J1406">
        <v>98.530954879328434</v>
      </c>
      <c r="K1406" t="str">
        <f>_xlfn.XLOOKUP(tblProduction[[#This Row],[Product]],tblProducts[Product],tblProducts[Category],"Not Found")</f>
        <v>Precision</v>
      </c>
      <c r="L1406">
        <f>_xlfn.XLOOKUP(tblProduction[[#This Row],[Product]],tblProducts[Product],tblProducts[Target_Units],"Not Found")</f>
        <v>950</v>
      </c>
    </row>
    <row r="1407" spans="1:12" x14ac:dyDescent="0.3">
      <c r="A1407" s="1">
        <v>46181</v>
      </c>
      <c r="B1407" t="s">
        <v>9</v>
      </c>
      <c r="C1407" t="s">
        <v>12</v>
      </c>
      <c r="D1407" t="s">
        <v>16</v>
      </c>
      <c r="E1407">
        <v>1007</v>
      </c>
      <c r="F1407">
        <v>15</v>
      </c>
      <c r="G1407">
        <v>15</v>
      </c>
      <c r="H1407">
        <v>992</v>
      </c>
      <c r="I1407">
        <v>1.4895729890764651</v>
      </c>
      <c r="J1407">
        <v>98.510427010923536</v>
      </c>
      <c r="K1407" t="str">
        <f>_xlfn.XLOOKUP(tblProduction[[#This Row],[Product]],tblProducts[Product],tblProducts[Category],"Not Found")</f>
        <v>Standard</v>
      </c>
      <c r="L1407">
        <f>_xlfn.XLOOKUP(tblProduction[[#This Row],[Product]],tblProducts[Product],tblProducts[Target_Units],"Not Found")</f>
        <v>1000</v>
      </c>
    </row>
    <row r="1408" spans="1:12" x14ac:dyDescent="0.3">
      <c r="A1408" s="1">
        <v>46181</v>
      </c>
      <c r="B1408" t="s">
        <v>9</v>
      </c>
      <c r="C1408" t="s">
        <v>13</v>
      </c>
      <c r="D1408" t="s">
        <v>18</v>
      </c>
      <c r="E1408">
        <v>775</v>
      </c>
      <c r="F1408">
        <v>19</v>
      </c>
      <c r="G1408">
        <v>59</v>
      </c>
      <c r="H1408">
        <v>756</v>
      </c>
      <c r="I1408">
        <v>2.4516129032258061</v>
      </c>
      <c r="J1408">
        <v>97.548387096774192</v>
      </c>
      <c r="K1408" t="str">
        <f>_xlfn.XLOOKUP(tblProduction[[#This Row],[Product]],tblProducts[Product],tblProducts[Category],"Not Found")</f>
        <v>Assembly</v>
      </c>
      <c r="L1408">
        <f>_xlfn.XLOOKUP(tblProduction[[#This Row],[Product]],tblProducts[Product],tblProducts[Target_Units],"Not Found")</f>
        <v>900</v>
      </c>
    </row>
    <row r="1409" spans="1:12" x14ac:dyDescent="0.3">
      <c r="A1409" s="1">
        <v>46181</v>
      </c>
      <c r="B1409" t="s">
        <v>15</v>
      </c>
      <c r="C1409" t="s">
        <v>10</v>
      </c>
      <c r="D1409" t="s">
        <v>14</v>
      </c>
      <c r="E1409">
        <v>814</v>
      </c>
      <c r="F1409">
        <v>26</v>
      </c>
      <c r="G1409">
        <v>4</v>
      </c>
      <c r="H1409">
        <v>788</v>
      </c>
      <c r="I1409">
        <v>3.1941031941031941</v>
      </c>
      <c r="J1409">
        <v>96.805896805896808</v>
      </c>
      <c r="K1409" t="str">
        <f>_xlfn.XLOOKUP(tblProduction[[#This Row],[Product]],tblProducts[Product],tblProducts[Category],"Not Found")</f>
        <v>Assembly</v>
      </c>
      <c r="L1409">
        <f>_xlfn.XLOOKUP(tblProduction[[#This Row],[Product]],tblProducts[Product],tblProducts[Target_Units],"Not Found")</f>
        <v>850</v>
      </c>
    </row>
    <row r="1410" spans="1:12" x14ac:dyDescent="0.3">
      <c r="A1410" s="1">
        <v>46181</v>
      </c>
      <c r="B1410" t="s">
        <v>15</v>
      </c>
      <c r="C1410" t="s">
        <v>12</v>
      </c>
      <c r="D1410" t="s">
        <v>11</v>
      </c>
      <c r="E1410">
        <v>882</v>
      </c>
      <c r="F1410">
        <v>22</v>
      </c>
      <c r="G1410">
        <v>7</v>
      </c>
      <c r="H1410">
        <v>860</v>
      </c>
      <c r="I1410">
        <v>2.4943310657596371</v>
      </c>
      <c r="J1410">
        <v>97.505668934240362</v>
      </c>
      <c r="K1410" t="str">
        <f>_xlfn.XLOOKUP(tblProduction[[#This Row],[Product]],tblProducts[Product],tblProducts[Category],"Not Found")</f>
        <v>Precision</v>
      </c>
      <c r="L1410">
        <f>_xlfn.XLOOKUP(tblProduction[[#This Row],[Product]],tblProducts[Product],tblProducts[Target_Units],"Not Found")</f>
        <v>950</v>
      </c>
    </row>
    <row r="1411" spans="1:12" x14ac:dyDescent="0.3">
      <c r="A1411" s="1">
        <v>46181</v>
      </c>
      <c r="B1411" t="s">
        <v>15</v>
      </c>
      <c r="C1411" t="s">
        <v>13</v>
      </c>
      <c r="D1411" t="s">
        <v>14</v>
      </c>
      <c r="E1411">
        <v>659</v>
      </c>
      <c r="F1411">
        <v>28</v>
      </c>
      <c r="G1411">
        <v>69</v>
      </c>
      <c r="H1411">
        <v>631</v>
      </c>
      <c r="I1411">
        <v>4.2488619119878601</v>
      </c>
      <c r="J1411">
        <v>95.751138088012141</v>
      </c>
      <c r="K1411" t="str">
        <f>_xlfn.XLOOKUP(tblProduction[[#This Row],[Product]],tblProducts[Product],tblProducts[Category],"Not Found")</f>
        <v>Assembly</v>
      </c>
      <c r="L1411">
        <f>_xlfn.XLOOKUP(tblProduction[[#This Row],[Product]],tblProducts[Product],tblProducts[Target_Units],"Not Found")</f>
        <v>850</v>
      </c>
    </row>
    <row r="1412" spans="1:12" x14ac:dyDescent="0.3">
      <c r="A1412" s="1">
        <v>46181</v>
      </c>
      <c r="B1412" t="s">
        <v>17</v>
      </c>
      <c r="C1412" t="s">
        <v>10</v>
      </c>
      <c r="D1412" t="s">
        <v>11</v>
      </c>
      <c r="E1412">
        <v>846</v>
      </c>
      <c r="F1412">
        <v>29</v>
      </c>
      <c r="G1412">
        <v>17</v>
      </c>
      <c r="H1412">
        <v>817</v>
      </c>
      <c r="I1412">
        <v>3.4278959810874712</v>
      </c>
      <c r="J1412">
        <v>96.572104018912526</v>
      </c>
      <c r="K1412" t="str">
        <f>_xlfn.XLOOKUP(tblProduction[[#This Row],[Product]],tblProducts[Product],tblProducts[Category],"Not Found")</f>
        <v>Precision</v>
      </c>
      <c r="L1412">
        <f>_xlfn.XLOOKUP(tblProduction[[#This Row],[Product]],tblProducts[Product],tblProducts[Target_Units],"Not Found")</f>
        <v>950</v>
      </c>
    </row>
    <row r="1413" spans="1:12" x14ac:dyDescent="0.3">
      <c r="A1413" s="1">
        <v>46181</v>
      </c>
      <c r="B1413" t="s">
        <v>17</v>
      </c>
      <c r="C1413" t="s">
        <v>12</v>
      </c>
      <c r="D1413" t="s">
        <v>11</v>
      </c>
      <c r="E1413">
        <v>783</v>
      </c>
      <c r="F1413">
        <v>27</v>
      </c>
      <c r="G1413">
        <v>30</v>
      </c>
      <c r="H1413">
        <v>756</v>
      </c>
      <c r="I1413">
        <v>3.4482758620689649</v>
      </c>
      <c r="J1413">
        <v>96.551724137931032</v>
      </c>
      <c r="K1413" t="str">
        <f>_xlfn.XLOOKUP(tblProduction[[#This Row],[Product]],tblProducts[Product],tblProducts[Category],"Not Found")</f>
        <v>Precision</v>
      </c>
      <c r="L1413">
        <f>_xlfn.XLOOKUP(tblProduction[[#This Row],[Product]],tblProducts[Product],tblProducts[Target_Units],"Not Found")</f>
        <v>950</v>
      </c>
    </row>
    <row r="1414" spans="1:12" x14ac:dyDescent="0.3">
      <c r="A1414" s="1">
        <v>46181</v>
      </c>
      <c r="B1414" t="s">
        <v>17</v>
      </c>
      <c r="C1414" t="s">
        <v>13</v>
      </c>
      <c r="D1414" t="s">
        <v>14</v>
      </c>
      <c r="E1414">
        <v>647</v>
      </c>
      <c r="F1414">
        <v>34</v>
      </c>
      <c r="G1414">
        <v>5</v>
      </c>
      <c r="H1414">
        <v>613</v>
      </c>
      <c r="I1414">
        <v>5.2550231839258119</v>
      </c>
      <c r="J1414">
        <v>94.744976816074185</v>
      </c>
      <c r="K1414" t="str">
        <f>_xlfn.XLOOKUP(tblProduction[[#This Row],[Product]],tblProducts[Product],tblProducts[Category],"Not Found")</f>
        <v>Assembly</v>
      </c>
      <c r="L1414">
        <f>_xlfn.XLOOKUP(tblProduction[[#This Row],[Product]],tblProducts[Product],tblProducts[Target_Units],"Not Found")</f>
        <v>850</v>
      </c>
    </row>
    <row r="1415" spans="1:12" x14ac:dyDescent="0.3">
      <c r="A1415" s="1">
        <v>46182</v>
      </c>
      <c r="B1415" t="s">
        <v>9</v>
      </c>
      <c r="C1415" t="s">
        <v>10</v>
      </c>
      <c r="D1415" t="s">
        <v>14</v>
      </c>
      <c r="E1415">
        <v>802</v>
      </c>
      <c r="F1415">
        <v>18</v>
      </c>
      <c r="G1415">
        <v>77</v>
      </c>
      <c r="H1415">
        <v>784</v>
      </c>
      <c r="I1415">
        <v>2.244389027431422</v>
      </c>
      <c r="J1415">
        <v>97.755610972568576</v>
      </c>
      <c r="K1415" t="str">
        <f>_xlfn.XLOOKUP(tblProduction[[#This Row],[Product]],tblProducts[Product],tblProducts[Category],"Not Found")</f>
        <v>Assembly</v>
      </c>
      <c r="L1415">
        <f>_xlfn.XLOOKUP(tblProduction[[#This Row],[Product]],tblProducts[Product],tblProducts[Target_Units],"Not Found")</f>
        <v>850</v>
      </c>
    </row>
    <row r="1416" spans="1:12" x14ac:dyDescent="0.3">
      <c r="A1416" s="1">
        <v>46182</v>
      </c>
      <c r="B1416" t="s">
        <v>9</v>
      </c>
      <c r="C1416" t="s">
        <v>12</v>
      </c>
      <c r="D1416" t="s">
        <v>16</v>
      </c>
      <c r="E1416">
        <v>1039</v>
      </c>
      <c r="F1416">
        <v>15</v>
      </c>
      <c r="G1416">
        <v>7</v>
      </c>
      <c r="H1416">
        <v>1024</v>
      </c>
      <c r="I1416">
        <v>1.4436958614051969</v>
      </c>
      <c r="J1416">
        <v>98.556304138594811</v>
      </c>
      <c r="K1416" t="str">
        <f>_xlfn.XLOOKUP(tblProduction[[#This Row],[Product]],tblProducts[Product],tblProducts[Category],"Not Found")</f>
        <v>Standard</v>
      </c>
      <c r="L1416">
        <f>_xlfn.XLOOKUP(tblProduction[[#This Row],[Product]],tblProducts[Product],tblProducts[Target_Units],"Not Found")</f>
        <v>1000</v>
      </c>
    </row>
    <row r="1417" spans="1:12" x14ac:dyDescent="0.3">
      <c r="A1417" s="1">
        <v>46182</v>
      </c>
      <c r="B1417" t="s">
        <v>9</v>
      </c>
      <c r="C1417" t="s">
        <v>13</v>
      </c>
      <c r="D1417" t="s">
        <v>18</v>
      </c>
      <c r="E1417">
        <v>811</v>
      </c>
      <c r="F1417">
        <v>20</v>
      </c>
      <c r="G1417">
        <v>62</v>
      </c>
      <c r="H1417">
        <v>791</v>
      </c>
      <c r="I1417">
        <v>2.466091245376079</v>
      </c>
      <c r="J1417">
        <v>97.533908754623923</v>
      </c>
      <c r="K1417" t="str">
        <f>_xlfn.XLOOKUP(tblProduction[[#This Row],[Product]],tblProducts[Product],tblProducts[Category],"Not Found")</f>
        <v>Assembly</v>
      </c>
      <c r="L1417">
        <f>_xlfn.XLOOKUP(tblProduction[[#This Row],[Product]],tblProducts[Product],tblProducts[Target_Units],"Not Found")</f>
        <v>900</v>
      </c>
    </row>
    <row r="1418" spans="1:12" x14ac:dyDescent="0.3">
      <c r="A1418" s="1">
        <v>46182</v>
      </c>
      <c r="B1418" t="s">
        <v>15</v>
      </c>
      <c r="C1418" t="s">
        <v>10</v>
      </c>
      <c r="D1418" t="s">
        <v>18</v>
      </c>
      <c r="E1418">
        <v>844</v>
      </c>
      <c r="F1418">
        <v>21</v>
      </c>
      <c r="G1418">
        <v>25</v>
      </c>
      <c r="H1418">
        <v>823</v>
      </c>
      <c r="I1418">
        <v>2.488151658767773</v>
      </c>
      <c r="J1418">
        <v>97.511848341232238</v>
      </c>
      <c r="K1418" t="str">
        <f>_xlfn.XLOOKUP(tblProduction[[#This Row],[Product]],tblProducts[Product],tblProducts[Category],"Not Found")</f>
        <v>Assembly</v>
      </c>
      <c r="L1418">
        <f>_xlfn.XLOOKUP(tblProduction[[#This Row],[Product]],tblProducts[Product],tblProducts[Target_Units],"Not Found")</f>
        <v>900</v>
      </c>
    </row>
    <row r="1419" spans="1:12" x14ac:dyDescent="0.3">
      <c r="A1419" s="1">
        <v>46182</v>
      </c>
      <c r="B1419" t="s">
        <v>15</v>
      </c>
      <c r="C1419" t="s">
        <v>12</v>
      </c>
      <c r="D1419" t="s">
        <v>14</v>
      </c>
      <c r="E1419">
        <v>788</v>
      </c>
      <c r="F1419">
        <v>26</v>
      </c>
      <c r="G1419">
        <v>10</v>
      </c>
      <c r="H1419">
        <v>762</v>
      </c>
      <c r="I1419">
        <v>3.2994923857868019</v>
      </c>
      <c r="J1419">
        <v>96.700507614213194</v>
      </c>
      <c r="K1419" t="str">
        <f>_xlfn.XLOOKUP(tblProduction[[#This Row],[Product]],tblProducts[Product],tblProducts[Category],"Not Found")</f>
        <v>Assembly</v>
      </c>
      <c r="L1419">
        <f>_xlfn.XLOOKUP(tblProduction[[#This Row],[Product]],tblProducts[Product],tblProducts[Target_Units],"Not Found")</f>
        <v>850</v>
      </c>
    </row>
    <row r="1420" spans="1:12" x14ac:dyDescent="0.3">
      <c r="A1420" s="1">
        <v>46182</v>
      </c>
      <c r="B1420" t="s">
        <v>15</v>
      </c>
      <c r="C1420" t="s">
        <v>13</v>
      </c>
      <c r="D1420" t="s">
        <v>11</v>
      </c>
      <c r="E1420">
        <v>696</v>
      </c>
      <c r="F1420">
        <v>24</v>
      </c>
      <c r="G1420">
        <v>74</v>
      </c>
      <c r="H1420">
        <v>672</v>
      </c>
      <c r="I1420">
        <v>3.4482758620689649</v>
      </c>
      <c r="J1420">
        <v>96.551724137931032</v>
      </c>
      <c r="K1420" t="str">
        <f>_xlfn.XLOOKUP(tblProduction[[#This Row],[Product]],tblProducts[Product],tblProducts[Category],"Not Found")</f>
        <v>Precision</v>
      </c>
      <c r="L1420">
        <f>_xlfn.XLOOKUP(tblProduction[[#This Row],[Product]],tblProducts[Product],tblProducts[Target_Units],"Not Found")</f>
        <v>950</v>
      </c>
    </row>
    <row r="1421" spans="1:12" x14ac:dyDescent="0.3">
      <c r="A1421" s="1">
        <v>46182</v>
      </c>
      <c r="B1421" t="s">
        <v>17</v>
      </c>
      <c r="C1421" t="s">
        <v>10</v>
      </c>
      <c r="D1421" t="s">
        <v>16</v>
      </c>
      <c r="E1421">
        <v>898</v>
      </c>
      <c r="F1421">
        <v>31</v>
      </c>
      <c r="G1421">
        <v>5</v>
      </c>
      <c r="H1421">
        <v>867</v>
      </c>
      <c r="I1421">
        <v>3.4521158129175951</v>
      </c>
      <c r="J1421">
        <v>96.547884187082403</v>
      </c>
      <c r="K1421" t="str">
        <f>_xlfn.XLOOKUP(tblProduction[[#This Row],[Product]],tblProducts[Product],tblProducts[Category],"Not Found")</f>
        <v>Standard</v>
      </c>
      <c r="L1421">
        <f>_xlfn.XLOOKUP(tblProduction[[#This Row],[Product]],tblProducts[Product],tblProducts[Target_Units],"Not Found")</f>
        <v>1000</v>
      </c>
    </row>
    <row r="1422" spans="1:12" x14ac:dyDescent="0.3">
      <c r="A1422" s="1">
        <v>46182</v>
      </c>
      <c r="B1422" t="s">
        <v>17</v>
      </c>
      <c r="C1422" t="s">
        <v>12</v>
      </c>
      <c r="D1422" t="s">
        <v>18</v>
      </c>
      <c r="E1422">
        <v>713</v>
      </c>
      <c r="F1422">
        <v>24</v>
      </c>
      <c r="G1422">
        <v>20</v>
      </c>
      <c r="H1422">
        <v>689</v>
      </c>
      <c r="I1422">
        <v>3.366058906030855</v>
      </c>
      <c r="J1422">
        <v>96.633941093969142</v>
      </c>
      <c r="K1422" t="str">
        <f>_xlfn.XLOOKUP(tblProduction[[#This Row],[Product]],tblProducts[Product],tblProducts[Category],"Not Found")</f>
        <v>Assembly</v>
      </c>
      <c r="L1422">
        <f>_xlfn.XLOOKUP(tblProduction[[#This Row],[Product]],tblProducts[Product],tblProducts[Target_Units],"Not Found")</f>
        <v>900</v>
      </c>
    </row>
    <row r="1423" spans="1:12" x14ac:dyDescent="0.3">
      <c r="A1423" s="1">
        <v>46182</v>
      </c>
      <c r="B1423" t="s">
        <v>17</v>
      </c>
      <c r="C1423" t="s">
        <v>13</v>
      </c>
      <c r="D1423" t="s">
        <v>11</v>
      </c>
      <c r="E1423">
        <v>735</v>
      </c>
      <c r="F1423">
        <v>33</v>
      </c>
      <c r="G1423">
        <v>31</v>
      </c>
      <c r="H1423">
        <v>702</v>
      </c>
      <c r="I1423">
        <v>4.4897959183673466</v>
      </c>
      <c r="J1423">
        <v>95.510204081632651</v>
      </c>
      <c r="K1423" t="str">
        <f>_xlfn.XLOOKUP(tblProduction[[#This Row],[Product]],tblProducts[Product],tblProducts[Category],"Not Found")</f>
        <v>Precision</v>
      </c>
      <c r="L1423">
        <f>_xlfn.XLOOKUP(tblProduction[[#This Row],[Product]],tblProducts[Product],tblProducts[Target_Units],"Not Found")</f>
        <v>950</v>
      </c>
    </row>
    <row r="1424" spans="1:12" x14ac:dyDescent="0.3">
      <c r="A1424" s="1">
        <v>46183</v>
      </c>
      <c r="B1424" t="s">
        <v>9</v>
      </c>
      <c r="C1424" t="s">
        <v>10</v>
      </c>
      <c r="D1424" t="s">
        <v>18</v>
      </c>
      <c r="E1424">
        <v>857</v>
      </c>
      <c r="F1424">
        <v>12</v>
      </c>
      <c r="G1424">
        <v>75</v>
      </c>
      <c r="H1424">
        <v>845</v>
      </c>
      <c r="I1424">
        <v>1.400233372228705</v>
      </c>
      <c r="J1424">
        <v>98.599766627771288</v>
      </c>
      <c r="K1424" t="str">
        <f>_xlfn.XLOOKUP(tblProduction[[#This Row],[Product]],tblProducts[Product],tblProducts[Category],"Not Found")</f>
        <v>Assembly</v>
      </c>
      <c r="L1424">
        <f>_xlfn.XLOOKUP(tblProduction[[#This Row],[Product]],tblProducts[Product],tblProducts[Target_Units],"Not Found")</f>
        <v>900</v>
      </c>
    </row>
    <row r="1425" spans="1:12" x14ac:dyDescent="0.3">
      <c r="A1425" s="1">
        <v>46183</v>
      </c>
      <c r="B1425" t="s">
        <v>9</v>
      </c>
      <c r="C1425" t="s">
        <v>12</v>
      </c>
      <c r="D1425" t="s">
        <v>18</v>
      </c>
      <c r="E1425">
        <v>831</v>
      </c>
      <c r="F1425">
        <v>12</v>
      </c>
      <c r="G1425">
        <v>87</v>
      </c>
      <c r="H1425">
        <v>819</v>
      </c>
      <c r="I1425">
        <v>1.4440433212996391</v>
      </c>
      <c r="J1425">
        <v>98.555956678700369</v>
      </c>
      <c r="K1425" t="str">
        <f>_xlfn.XLOOKUP(tblProduction[[#This Row],[Product]],tblProducts[Product],tblProducts[Category],"Not Found")</f>
        <v>Assembly</v>
      </c>
      <c r="L1425">
        <f>_xlfn.XLOOKUP(tblProduction[[#This Row],[Product]],tblProducts[Product],tblProducts[Target_Units],"Not Found")</f>
        <v>900</v>
      </c>
    </row>
    <row r="1426" spans="1:12" x14ac:dyDescent="0.3">
      <c r="A1426" s="1">
        <v>46183</v>
      </c>
      <c r="B1426" t="s">
        <v>9</v>
      </c>
      <c r="C1426" t="s">
        <v>13</v>
      </c>
      <c r="D1426" t="s">
        <v>18</v>
      </c>
      <c r="E1426">
        <v>894</v>
      </c>
      <c r="F1426">
        <v>22</v>
      </c>
      <c r="G1426">
        <v>4</v>
      </c>
      <c r="H1426">
        <v>872</v>
      </c>
      <c r="I1426">
        <v>2.4608501118568231</v>
      </c>
      <c r="J1426">
        <v>97.539149888143172</v>
      </c>
      <c r="K1426" t="str">
        <f>_xlfn.XLOOKUP(tblProduction[[#This Row],[Product]],tblProducts[Product],tblProducts[Category],"Not Found")</f>
        <v>Assembly</v>
      </c>
      <c r="L1426">
        <f>_xlfn.XLOOKUP(tblProduction[[#This Row],[Product]],tblProducts[Product],tblProducts[Target_Units],"Not Found")</f>
        <v>900</v>
      </c>
    </row>
    <row r="1427" spans="1:12" x14ac:dyDescent="0.3">
      <c r="A1427" s="1">
        <v>46183</v>
      </c>
      <c r="B1427" t="s">
        <v>15</v>
      </c>
      <c r="C1427" t="s">
        <v>10</v>
      </c>
      <c r="D1427" t="s">
        <v>14</v>
      </c>
      <c r="E1427">
        <v>825</v>
      </c>
      <c r="F1427">
        <v>27</v>
      </c>
      <c r="G1427">
        <v>3</v>
      </c>
      <c r="H1427">
        <v>798</v>
      </c>
      <c r="I1427">
        <v>3.2727272727272729</v>
      </c>
      <c r="J1427">
        <v>96.727272727272734</v>
      </c>
      <c r="K1427" t="str">
        <f>_xlfn.XLOOKUP(tblProduction[[#This Row],[Product]],tblProducts[Product],tblProducts[Category],"Not Found")</f>
        <v>Assembly</v>
      </c>
      <c r="L1427">
        <f>_xlfn.XLOOKUP(tblProduction[[#This Row],[Product]],tblProducts[Product],tblProducts[Target_Units],"Not Found")</f>
        <v>850</v>
      </c>
    </row>
    <row r="1428" spans="1:12" x14ac:dyDescent="0.3">
      <c r="A1428" s="1">
        <v>46183</v>
      </c>
      <c r="B1428" t="s">
        <v>15</v>
      </c>
      <c r="C1428" t="s">
        <v>12</v>
      </c>
      <c r="D1428" t="s">
        <v>16</v>
      </c>
      <c r="E1428">
        <v>928</v>
      </c>
      <c r="F1428">
        <v>23</v>
      </c>
      <c r="G1428">
        <v>13</v>
      </c>
      <c r="H1428">
        <v>905</v>
      </c>
      <c r="I1428">
        <v>2.478448275862069</v>
      </c>
      <c r="J1428">
        <v>97.521551724137936</v>
      </c>
      <c r="K1428" t="str">
        <f>_xlfn.XLOOKUP(tblProduction[[#This Row],[Product]],tblProducts[Product],tblProducts[Category],"Not Found")</f>
        <v>Standard</v>
      </c>
      <c r="L1428">
        <f>_xlfn.XLOOKUP(tblProduction[[#This Row],[Product]],tblProducts[Product],tblProducts[Target_Units],"Not Found")</f>
        <v>1000</v>
      </c>
    </row>
    <row r="1429" spans="1:12" x14ac:dyDescent="0.3">
      <c r="A1429" s="1">
        <v>46183</v>
      </c>
      <c r="B1429" t="s">
        <v>15</v>
      </c>
      <c r="C1429" t="s">
        <v>13</v>
      </c>
      <c r="D1429" t="s">
        <v>11</v>
      </c>
      <c r="E1429">
        <v>799</v>
      </c>
      <c r="F1429">
        <v>27</v>
      </c>
      <c r="G1429">
        <v>50</v>
      </c>
      <c r="H1429">
        <v>772</v>
      </c>
      <c r="I1429">
        <v>3.3792240300375469</v>
      </c>
      <c r="J1429">
        <v>96.620775969962452</v>
      </c>
      <c r="K1429" t="str">
        <f>_xlfn.XLOOKUP(tblProduction[[#This Row],[Product]],tblProducts[Product],tblProducts[Category],"Not Found")</f>
        <v>Precision</v>
      </c>
      <c r="L1429">
        <f>_xlfn.XLOOKUP(tblProduction[[#This Row],[Product]],tblProducts[Product],tblProducts[Target_Units],"Not Found")</f>
        <v>950</v>
      </c>
    </row>
    <row r="1430" spans="1:12" x14ac:dyDescent="0.3">
      <c r="A1430" s="1">
        <v>46183</v>
      </c>
      <c r="B1430" t="s">
        <v>17</v>
      </c>
      <c r="C1430" t="s">
        <v>10</v>
      </c>
      <c r="D1430" t="s">
        <v>11</v>
      </c>
      <c r="E1430">
        <v>741</v>
      </c>
      <c r="F1430">
        <v>25</v>
      </c>
      <c r="G1430">
        <v>82</v>
      </c>
      <c r="H1430">
        <v>716</v>
      </c>
      <c r="I1430">
        <v>3.3738191632928469</v>
      </c>
      <c r="J1430">
        <v>96.62618083670715</v>
      </c>
      <c r="K1430" t="str">
        <f>_xlfn.XLOOKUP(tblProduction[[#This Row],[Product]],tblProducts[Product],tblProducts[Category],"Not Found")</f>
        <v>Precision</v>
      </c>
      <c r="L1430">
        <f>_xlfn.XLOOKUP(tblProduction[[#This Row],[Product]],tblProducts[Product],tblProducts[Target_Units],"Not Found")</f>
        <v>950</v>
      </c>
    </row>
    <row r="1431" spans="1:12" x14ac:dyDescent="0.3">
      <c r="A1431" s="1">
        <v>46183</v>
      </c>
      <c r="B1431" t="s">
        <v>17</v>
      </c>
      <c r="C1431" t="s">
        <v>12</v>
      </c>
      <c r="D1431" t="s">
        <v>18</v>
      </c>
      <c r="E1431">
        <v>741</v>
      </c>
      <c r="F1431">
        <v>25</v>
      </c>
      <c r="G1431">
        <v>34</v>
      </c>
      <c r="H1431">
        <v>716</v>
      </c>
      <c r="I1431">
        <v>3.3738191632928469</v>
      </c>
      <c r="J1431">
        <v>96.62618083670715</v>
      </c>
      <c r="K1431" t="str">
        <f>_xlfn.XLOOKUP(tblProduction[[#This Row],[Product]],tblProducts[Product],tblProducts[Category],"Not Found")</f>
        <v>Assembly</v>
      </c>
      <c r="L1431">
        <f>_xlfn.XLOOKUP(tblProduction[[#This Row],[Product]],tblProducts[Product],tblProducts[Target_Units],"Not Found")</f>
        <v>900</v>
      </c>
    </row>
    <row r="1432" spans="1:12" x14ac:dyDescent="0.3">
      <c r="A1432" s="1">
        <v>46183</v>
      </c>
      <c r="B1432" t="s">
        <v>17</v>
      </c>
      <c r="C1432" t="s">
        <v>13</v>
      </c>
      <c r="D1432" t="s">
        <v>16</v>
      </c>
      <c r="E1432">
        <v>720</v>
      </c>
      <c r="F1432">
        <v>32</v>
      </c>
      <c r="G1432">
        <v>39</v>
      </c>
      <c r="H1432">
        <v>688</v>
      </c>
      <c r="I1432">
        <v>4.4444444444444446</v>
      </c>
      <c r="J1432">
        <v>95.555555555555557</v>
      </c>
      <c r="K1432" t="str">
        <f>_xlfn.XLOOKUP(tblProduction[[#This Row],[Product]],tblProducts[Product],tblProducts[Category],"Not Found")</f>
        <v>Standard</v>
      </c>
      <c r="L1432">
        <f>_xlfn.XLOOKUP(tblProduction[[#This Row],[Product]],tblProducts[Product],tblProducts[Target_Units],"Not Found")</f>
        <v>1000</v>
      </c>
    </row>
    <row r="1433" spans="1:12" x14ac:dyDescent="0.3">
      <c r="A1433" s="1">
        <v>46184</v>
      </c>
      <c r="B1433" t="s">
        <v>9</v>
      </c>
      <c r="C1433" t="s">
        <v>10</v>
      </c>
      <c r="D1433" t="s">
        <v>14</v>
      </c>
      <c r="E1433">
        <v>938</v>
      </c>
      <c r="F1433">
        <v>21</v>
      </c>
      <c r="G1433">
        <v>5</v>
      </c>
      <c r="H1433">
        <v>917</v>
      </c>
      <c r="I1433">
        <v>2.238805970149254</v>
      </c>
      <c r="J1433">
        <v>97.761194029850756</v>
      </c>
      <c r="K1433" t="str">
        <f>_xlfn.XLOOKUP(tblProduction[[#This Row],[Product]],tblProducts[Product],tblProducts[Category],"Not Found")</f>
        <v>Assembly</v>
      </c>
      <c r="L1433">
        <f>_xlfn.XLOOKUP(tblProduction[[#This Row],[Product]],tblProducts[Product],tblProducts[Target_Units],"Not Found")</f>
        <v>850</v>
      </c>
    </row>
    <row r="1434" spans="1:12" x14ac:dyDescent="0.3">
      <c r="A1434" s="1">
        <v>46184</v>
      </c>
      <c r="B1434" t="s">
        <v>9</v>
      </c>
      <c r="C1434" t="s">
        <v>12</v>
      </c>
      <c r="D1434" t="s">
        <v>18</v>
      </c>
      <c r="E1434">
        <v>826</v>
      </c>
      <c r="F1434">
        <v>12</v>
      </c>
      <c r="G1434">
        <v>66</v>
      </c>
      <c r="H1434">
        <v>814</v>
      </c>
      <c r="I1434">
        <v>1.4527845036319611</v>
      </c>
      <c r="J1434">
        <v>98.54721549636804</v>
      </c>
      <c r="K1434" t="str">
        <f>_xlfn.XLOOKUP(tblProduction[[#This Row],[Product]],tblProducts[Product],tblProducts[Category],"Not Found")</f>
        <v>Assembly</v>
      </c>
      <c r="L1434">
        <f>_xlfn.XLOOKUP(tblProduction[[#This Row],[Product]],tblProducts[Product],tblProducts[Target_Units],"Not Found")</f>
        <v>900</v>
      </c>
    </row>
    <row r="1435" spans="1:12" x14ac:dyDescent="0.3">
      <c r="A1435" s="1">
        <v>46184</v>
      </c>
      <c r="B1435" t="s">
        <v>9</v>
      </c>
      <c r="C1435" t="s">
        <v>13</v>
      </c>
      <c r="D1435" t="s">
        <v>16</v>
      </c>
      <c r="E1435">
        <v>928</v>
      </c>
      <c r="F1435">
        <v>23</v>
      </c>
      <c r="G1435">
        <v>33</v>
      </c>
      <c r="H1435">
        <v>905</v>
      </c>
      <c r="I1435">
        <v>2.478448275862069</v>
      </c>
      <c r="J1435">
        <v>97.521551724137936</v>
      </c>
      <c r="K1435" t="str">
        <f>_xlfn.XLOOKUP(tblProduction[[#This Row],[Product]],tblProducts[Product],tblProducts[Category],"Not Found")</f>
        <v>Standard</v>
      </c>
      <c r="L1435">
        <f>_xlfn.XLOOKUP(tblProduction[[#This Row],[Product]],tblProducts[Product],tblProducts[Target_Units],"Not Found")</f>
        <v>1000</v>
      </c>
    </row>
    <row r="1436" spans="1:12" x14ac:dyDescent="0.3">
      <c r="A1436" s="1">
        <v>46184</v>
      </c>
      <c r="B1436" t="s">
        <v>15</v>
      </c>
      <c r="C1436" t="s">
        <v>10</v>
      </c>
      <c r="D1436" t="s">
        <v>14</v>
      </c>
      <c r="E1436">
        <v>858</v>
      </c>
      <c r="F1436">
        <v>28</v>
      </c>
      <c r="G1436">
        <v>15</v>
      </c>
      <c r="H1436">
        <v>830</v>
      </c>
      <c r="I1436">
        <v>3.263403263403263</v>
      </c>
      <c r="J1436">
        <v>96.736596736596738</v>
      </c>
      <c r="K1436" t="str">
        <f>_xlfn.XLOOKUP(tblProduction[[#This Row],[Product]],tblProducts[Product],tblProducts[Category],"Not Found")</f>
        <v>Assembly</v>
      </c>
      <c r="L1436">
        <f>_xlfn.XLOOKUP(tblProduction[[#This Row],[Product]],tblProducts[Product],tblProducts[Target_Units],"Not Found")</f>
        <v>850</v>
      </c>
    </row>
    <row r="1437" spans="1:12" x14ac:dyDescent="0.3">
      <c r="A1437" s="1">
        <v>46184</v>
      </c>
      <c r="B1437" t="s">
        <v>15</v>
      </c>
      <c r="C1437" t="s">
        <v>12</v>
      </c>
      <c r="D1437" t="s">
        <v>18</v>
      </c>
      <c r="E1437">
        <v>753</v>
      </c>
      <c r="F1437">
        <v>18</v>
      </c>
      <c r="G1437">
        <v>69</v>
      </c>
      <c r="H1437">
        <v>735</v>
      </c>
      <c r="I1437">
        <v>2.3904382470119518</v>
      </c>
      <c r="J1437">
        <v>97.609561752988043</v>
      </c>
      <c r="K1437" t="str">
        <f>_xlfn.XLOOKUP(tblProduction[[#This Row],[Product]],tblProducts[Product],tblProducts[Category],"Not Found")</f>
        <v>Assembly</v>
      </c>
      <c r="L1437">
        <f>_xlfn.XLOOKUP(tblProduction[[#This Row],[Product]],tblProducts[Product],tblProducts[Target_Units],"Not Found")</f>
        <v>900</v>
      </c>
    </row>
    <row r="1438" spans="1:12" x14ac:dyDescent="0.3">
      <c r="A1438" s="1">
        <v>46184</v>
      </c>
      <c r="B1438" t="s">
        <v>15</v>
      </c>
      <c r="C1438" t="s">
        <v>13</v>
      </c>
      <c r="D1438" t="s">
        <v>11</v>
      </c>
      <c r="E1438">
        <v>817</v>
      </c>
      <c r="F1438">
        <v>28</v>
      </c>
      <c r="G1438">
        <v>33</v>
      </c>
      <c r="H1438">
        <v>789</v>
      </c>
      <c r="I1438">
        <v>3.4271725826193391</v>
      </c>
      <c r="J1438">
        <v>96.572827417380651</v>
      </c>
      <c r="K1438" t="str">
        <f>_xlfn.XLOOKUP(tblProduction[[#This Row],[Product]],tblProducts[Product],tblProducts[Category],"Not Found")</f>
        <v>Precision</v>
      </c>
      <c r="L1438">
        <f>_xlfn.XLOOKUP(tblProduction[[#This Row],[Product]],tblProducts[Product],tblProducts[Target_Units],"Not Found")</f>
        <v>950</v>
      </c>
    </row>
    <row r="1439" spans="1:12" x14ac:dyDescent="0.3">
      <c r="A1439" s="1">
        <v>46184</v>
      </c>
      <c r="B1439" t="s">
        <v>17</v>
      </c>
      <c r="C1439" t="s">
        <v>10</v>
      </c>
      <c r="D1439" t="s">
        <v>11</v>
      </c>
      <c r="E1439">
        <v>777</v>
      </c>
      <c r="F1439">
        <v>27</v>
      </c>
      <c r="G1439">
        <v>56</v>
      </c>
      <c r="H1439">
        <v>750</v>
      </c>
      <c r="I1439">
        <v>3.4749034749034751</v>
      </c>
      <c r="J1439">
        <v>96.525096525096515</v>
      </c>
      <c r="K1439" t="str">
        <f>_xlfn.XLOOKUP(tblProduction[[#This Row],[Product]],tblProducts[Product],tblProducts[Category],"Not Found")</f>
        <v>Precision</v>
      </c>
      <c r="L1439">
        <f>_xlfn.XLOOKUP(tblProduction[[#This Row],[Product]],tblProducts[Product],tblProducts[Target_Units],"Not Found")</f>
        <v>950</v>
      </c>
    </row>
    <row r="1440" spans="1:12" x14ac:dyDescent="0.3">
      <c r="A1440" s="1">
        <v>46184</v>
      </c>
      <c r="B1440" t="s">
        <v>17</v>
      </c>
      <c r="C1440" t="s">
        <v>12</v>
      </c>
      <c r="D1440" t="s">
        <v>11</v>
      </c>
      <c r="E1440">
        <v>761</v>
      </c>
      <c r="F1440">
        <v>26</v>
      </c>
      <c r="G1440">
        <v>43</v>
      </c>
      <c r="H1440">
        <v>735</v>
      </c>
      <c r="I1440">
        <v>3.4165571616294348</v>
      </c>
      <c r="J1440">
        <v>96.583442838370573</v>
      </c>
      <c r="K1440" t="str">
        <f>_xlfn.XLOOKUP(tblProduction[[#This Row],[Product]],tblProducts[Product],tblProducts[Category],"Not Found")</f>
        <v>Precision</v>
      </c>
      <c r="L1440">
        <f>_xlfn.XLOOKUP(tblProduction[[#This Row],[Product]],tblProducts[Product],tblProducts[Target_Units],"Not Found")</f>
        <v>950</v>
      </c>
    </row>
    <row r="1441" spans="1:12" x14ac:dyDescent="0.3">
      <c r="A1441" s="1">
        <v>46184</v>
      </c>
      <c r="B1441" t="s">
        <v>17</v>
      </c>
      <c r="C1441" t="s">
        <v>13</v>
      </c>
      <c r="D1441" t="s">
        <v>18</v>
      </c>
      <c r="E1441">
        <v>667</v>
      </c>
      <c r="F1441">
        <v>30</v>
      </c>
      <c r="G1441">
        <v>60</v>
      </c>
      <c r="H1441">
        <v>637</v>
      </c>
      <c r="I1441">
        <v>4.497751124437781</v>
      </c>
      <c r="J1441">
        <v>95.502248875562231</v>
      </c>
      <c r="K1441" t="str">
        <f>_xlfn.XLOOKUP(tblProduction[[#This Row],[Product]],tblProducts[Product],tblProducts[Category],"Not Found")</f>
        <v>Assembly</v>
      </c>
      <c r="L1441">
        <f>_xlfn.XLOOKUP(tblProduction[[#This Row],[Product]],tblProducts[Product],tblProducts[Target_Units],"Not Found")</f>
        <v>900</v>
      </c>
    </row>
    <row r="1442" spans="1:12" x14ac:dyDescent="0.3">
      <c r="A1442" s="1">
        <v>46185</v>
      </c>
      <c r="B1442" t="s">
        <v>9</v>
      </c>
      <c r="C1442" t="s">
        <v>10</v>
      </c>
      <c r="D1442" t="s">
        <v>16</v>
      </c>
      <c r="E1442">
        <v>1058</v>
      </c>
      <c r="F1442">
        <v>15</v>
      </c>
      <c r="G1442">
        <v>34</v>
      </c>
      <c r="H1442">
        <v>1043</v>
      </c>
      <c r="I1442">
        <v>1.417769376181474</v>
      </c>
      <c r="J1442">
        <v>98.582230623818518</v>
      </c>
      <c r="K1442" t="str">
        <f>_xlfn.XLOOKUP(tblProduction[[#This Row],[Product]],tblProducts[Product],tblProducts[Category],"Not Found")</f>
        <v>Standard</v>
      </c>
      <c r="L1442">
        <f>_xlfn.XLOOKUP(tblProduction[[#This Row],[Product]],tblProducts[Product],tblProducts[Target_Units],"Not Found")</f>
        <v>1000</v>
      </c>
    </row>
    <row r="1443" spans="1:12" x14ac:dyDescent="0.3">
      <c r="A1443" s="1">
        <v>46185</v>
      </c>
      <c r="B1443" t="s">
        <v>9</v>
      </c>
      <c r="C1443" t="s">
        <v>12</v>
      </c>
      <c r="D1443" t="s">
        <v>18</v>
      </c>
      <c r="E1443">
        <v>840</v>
      </c>
      <c r="F1443">
        <v>12</v>
      </c>
      <c r="G1443">
        <v>67</v>
      </c>
      <c r="H1443">
        <v>828</v>
      </c>
      <c r="I1443">
        <v>1.428571428571429</v>
      </c>
      <c r="J1443">
        <v>98.571428571428584</v>
      </c>
      <c r="K1443" t="str">
        <f>_xlfn.XLOOKUP(tblProduction[[#This Row],[Product]],tblProducts[Product],tblProducts[Category],"Not Found")</f>
        <v>Assembly</v>
      </c>
      <c r="L1443">
        <f>_xlfn.XLOOKUP(tblProduction[[#This Row],[Product]],tblProducts[Product],tblProducts[Target_Units],"Not Found")</f>
        <v>900</v>
      </c>
    </row>
    <row r="1444" spans="1:12" x14ac:dyDescent="0.3">
      <c r="A1444" s="1">
        <v>46185</v>
      </c>
      <c r="B1444" t="s">
        <v>9</v>
      </c>
      <c r="C1444" t="s">
        <v>13</v>
      </c>
      <c r="D1444" t="s">
        <v>16</v>
      </c>
      <c r="E1444">
        <v>925</v>
      </c>
      <c r="F1444">
        <v>23</v>
      </c>
      <c r="G1444">
        <v>49</v>
      </c>
      <c r="H1444">
        <v>902</v>
      </c>
      <c r="I1444">
        <v>2.486486486486486</v>
      </c>
      <c r="J1444">
        <v>97.513513513513516</v>
      </c>
      <c r="K1444" t="str">
        <f>_xlfn.XLOOKUP(tblProduction[[#This Row],[Product]],tblProducts[Product],tblProducts[Category],"Not Found")</f>
        <v>Standard</v>
      </c>
      <c r="L1444">
        <f>_xlfn.XLOOKUP(tblProduction[[#This Row],[Product]],tblProducts[Product],tblProducts[Target_Units],"Not Found")</f>
        <v>1000</v>
      </c>
    </row>
    <row r="1445" spans="1:12" x14ac:dyDescent="0.3">
      <c r="A1445" s="1">
        <v>46185</v>
      </c>
      <c r="B1445" t="s">
        <v>15</v>
      </c>
      <c r="C1445" t="s">
        <v>10</v>
      </c>
      <c r="D1445" t="s">
        <v>16</v>
      </c>
      <c r="E1445">
        <v>911</v>
      </c>
      <c r="F1445">
        <v>22</v>
      </c>
      <c r="G1445">
        <v>60</v>
      </c>
      <c r="H1445">
        <v>889</v>
      </c>
      <c r="I1445">
        <v>2.4149286498353462</v>
      </c>
      <c r="J1445">
        <v>97.585071350164654</v>
      </c>
      <c r="K1445" t="str">
        <f>_xlfn.XLOOKUP(tblProduction[[#This Row],[Product]],tblProducts[Product],tblProducts[Category],"Not Found")</f>
        <v>Standard</v>
      </c>
      <c r="L1445">
        <f>_xlfn.XLOOKUP(tblProduction[[#This Row],[Product]],tblProducts[Product],tblProducts[Target_Units],"Not Found")</f>
        <v>1000</v>
      </c>
    </row>
    <row r="1446" spans="1:12" x14ac:dyDescent="0.3">
      <c r="A1446" s="1">
        <v>46185</v>
      </c>
      <c r="B1446" t="s">
        <v>15</v>
      </c>
      <c r="C1446" t="s">
        <v>12</v>
      </c>
      <c r="D1446" t="s">
        <v>14</v>
      </c>
      <c r="E1446">
        <v>715</v>
      </c>
      <c r="F1446">
        <v>23</v>
      </c>
      <c r="G1446">
        <v>69</v>
      </c>
      <c r="H1446">
        <v>692</v>
      </c>
      <c r="I1446">
        <v>3.2167832167832171</v>
      </c>
      <c r="J1446">
        <v>96.783216783216787</v>
      </c>
      <c r="K1446" t="str">
        <f>_xlfn.XLOOKUP(tblProduction[[#This Row],[Product]],tblProducts[Product],tblProducts[Category],"Not Found")</f>
        <v>Assembly</v>
      </c>
      <c r="L1446">
        <f>_xlfn.XLOOKUP(tblProduction[[#This Row],[Product]],tblProducts[Product],tblProducts[Target_Units],"Not Found")</f>
        <v>850</v>
      </c>
    </row>
    <row r="1447" spans="1:12" x14ac:dyDescent="0.3">
      <c r="A1447" s="1">
        <v>46185</v>
      </c>
      <c r="B1447" t="s">
        <v>15</v>
      </c>
      <c r="C1447" t="s">
        <v>13</v>
      </c>
      <c r="D1447" t="s">
        <v>14</v>
      </c>
      <c r="E1447">
        <v>638</v>
      </c>
      <c r="F1447">
        <v>27</v>
      </c>
      <c r="G1447">
        <v>63</v>
      </c>
      <c r="H1447">
        <v>611</v>
      </c>
      <c r="I1447">
        <v>4.2319749216300941</v>
      </c>
      <c r="J1447">
        <v>95.768025078369902</v>
      </c>
      <c r="K1447" t="str">
        <f>_xlfn.XLOOKUP(tblProduction[[#This Row],[Product]],tblProducts[Product],tblProducts[Category],"Not Found")</f>
        <v>Assembly</v>
      </c>
      <c r="L1447">
        <f>_xlfn.XLOOKUP(tblProduction[[#This Row],[Product]],tblProducts[Product],tblProducts[Target_Units],"Not Found")</f>
        <v>850</v>
      </c>
    </row>
    <row r="1448" spans="1:12" x14ac:dyDescent="0.3">
      <c r="A1448" s="1">
        <v>46185</v>
      </c>
      <c r="B1448" t="s">
        <v>17</v>
      </c>
      <c r="C1448" t="s">
        <v>10</v>
      </c>
      <c r="D1448" t="s">
        <v>16</v>
      </c>
      <c r="E1448">
        <v>910</v>
      </c>
      <c r="F1448">
        <v>31</v>
      </c>
      <c r="G1448">
        <v>19</v>
      </c>
      <c r="H1448">
        <v>879</v>
      </c>
      <c r="I1448">
        <v>3.406593406593406</v>
      </c>
      <c r="J1448">
        <v>96.593406593406598</v>
      </c>
      <c r="K1448" t="str">
        <f>_xlfn.XLOOKUP(tblProduction[[#This Row],[Product]],tblProducts[Product],tblProducts[Category],"Not Found")</f>
        <v>Standard</v>
      </c>
      <c r="L1448">
        <f>_xlfn.XLOOKUP(tblProduction[[#This Row],[Product]],tblProducts[Product],tblProducts[Target_Units],"Not Found")</f>
        <v>1000</v>
      </c>
    </row>
    <row r="1449" spans="1:12" x14ac:dyDescent="0.3">
      <c r="A1449" s="1">
        <v>46185</v>
      </c>
      <c r="B1449" t="s">
        <v>17</v>
      </c>
      <c r="C1449" t="s">
        <v>12</v>
      </c>
      <c r="D1449" t="s">
        <v>14</v>
      </c>
      <c r="E1449">
        <v>690</v>
      </c>
      <c r="F1449">
        <v>29</v>
      </c>
      <c r="G1449">
        <v>6</v>
      </c>
      <c r="H1449">
        <v>661</v>
      </c>
      <c r="I1449">
        <v>4.2028985507246377</v>
      </c>
      <c r="J1449">
        <v>95.79710144927536</v>
      </c>
      <c r="K1449" t="str">
        <f>_xlfn.XLOOKUP(tblProduction[[#This Row],[Product]],tblProducts[Product],tblProducts[Category],"Not Found")</f>
        <v>Assembly</v>
      </c>
      <c r="L1449">
        <f>_xlfn.XLOOKUP(tblProduction[[#This Row],[Product]],tblProducts[Product],tblProducts[Target_Units],"Not Found")</f>
        <v>850</v>
      </c>
    </row>
    <row r="1450" spans="1:12" x14ac:dyDescent="0.3">
      <c r="A1450" s="1">
        <v>46185</v>
      </c>
      <c r="B1450" t="s">
        <v>17</v>
      </c>
      <c r="C1450" t="s">
        <v>13</v>
      </c>
      <c r="D1450" t="s">
        <v>18</v>
      </c>
      <c r="E1450">
        <v>681</v>
      </c>
      <c r="F1450">
        <v>30</v>
      </c>
      <c r="G1450">
        <v>52</v>
      </c>
      <c r="H1450">
        <v>651</v>
      </c>
      <c r="I1450">
        <v>4.4052863436123353</v>
      </c>
      <c r="J1450">
        <v>95.594713656387668</v>
      </c>
      <c r="K1450" t="str">
        <f>_xlfn.XLOOKUP(tblProduction[[#This Row],[Product]],tblProducts[Product],tblProducts[Category],"Not Found")</f>
        <v>Assembly</v>
      </c>
      <c r="L1450">
        <f>_xlfn.XLOOKUP(tblProduction[[#This Row],[Product]],tblProducts[Product],tblProducts[Target_Units],"Not Found")</f>
        <v>900</v>
      </c>
    </row>
    <row r="1451" spans="1:12" x14ac:dyDescent="0.3">
      <c r="A1451" s="1">
        <v>46186</v>
      </c>
      <c r="B1451" t="s">
        <v>9</v>
      </c>
      <c r="C1451" t="s">
        <v>10</v>
      </c>
      <c r="D1451" t="s">
        <v>18</v>
      </c>
      <c r="E1451">
        <v>906</v>
      </c>
      <c r="F1451">
        <v>13</v>
      </c>
      <c r="G1451">
        <v>59</v>
      </c>
      <c r="H1451">
        <v>893</v>
      </c>
      <c r="I1451">
        <v>1.434878587196468</v>
      </c>
      <c r="J1451">
        <v>98.565121412803535</v>
      </c>
      <c r="K1451" t="str">
        <f>_xlfn.XLOOKUP(tblProduction[[#This Row],[Product]],tblProducts[Product],tblProducts[Category],"Not Found")</f>
        <v>Assembly</v>
      </c>
      <c r="L1451">
        <f>_xlfn.XLOOKUP(tblProduction[[#This Row],[Product]],tblProducts[Product],tblProducts[Target_Units],"Not Found")</f>
        <v>900</v>
      </c>
    </row>
    <row r="1452" spans="1:12" x14ac:dyDescent="0.3">
      <c r="A1452" s="1">
        <v>46186</v>
      </c>
      <c r="B1452" t="s">
        <v>9</v>
      </c>
      <c r="C1452" t="s">
        <v>12</v>
      </c>
      <c r="D1452" t="s">
        <v>18</v>
      </c>
      <c r="E1452">
        <v>911</v>
      </c>
      <c r="F1452">
        <v>13</v>
      </c>
      <c r="G1452">
        <v>16</v>
      </c>
      <c r="H1452">
        <v>898</v>
      </c>
      <c r="I1452">
        <v>1.4270032930845229</v>
      </c>
      <c r="J1452">
        <v>98.572996706915475</v>
      </c>
      <c r="K1452" t="str">
        <f>_xlfn.XLOOKUP(tblProduction[[#This Row],[Product]],tblProducts[Product],tblProducts[Category],"Not Found")</f>
        <v>Assembly</v>
      </c>
      <c r="L1452">
        <f>_xlfn.XLOOKUP(tblProduction[[#This Row],[Product]],tblProducts[Product],tblProducts[Target_Units],"Not Found")</f>
        <v>900</v>
      </c>
    </row>
    <row r="1453" spans="1:12" x14ac:dyDescent="0.3">
      <c r="A1453" s="1">
        <v>46186</v>
      </c>
      <c r="B1453" t="s">
        <v>9</v>
      </c>
      <c r="C1453" t="s">
        <v>13</v>
      </c>
      <c r="D1453" t="s">
        <v>18</v>
      </c>
      <c r="E1453">
        <v>791</v>
      </c>
      <c r="F1453">
        <v>19</v>
      </c>
      <c r="G1453">
        <v>47</v>
      </c>
      <c r="H1453">
        <v>772</v>
      </c>
      <c r="I1453">
        <v>2.4020227560050569</v>
      </c>
      <c r="J1453">
        <v>97.597977243994933</v>
      </c>
      <c r="K1453" t="str">
        <f>_xlfn.XLOOKUP(tblProduction[[#This Row],[Product]],tblProducts[Product],tblProducts[Category],"Not Found")</f>
        <v>Assembly</v>
      </c>
      <c r="L1453">
        <f>_xlfn.XLOOKUP(tblProduction[[#This Row],[Product]],tblProducts[Product],tblProducts[Target_Units],"Not Found")</f>
        <v>900</v>
      </c>
    </row>
    <row r="1454" spans="1:12" x14ac:dyDescent="0.3">
      <c r="A1454" s="1">
        <v>46186</v>
      </c>
      <c r="B1454" t="s">
        <v>15</v>
      </c>
      <c r="C1454" t="s">
        <v>10</v>
      </c>
      <c r="D1454" t="s">
        <v>11</v>
      </c>
      <c r="E1454">
        <v>856</v>
      </c>
      <c r="F1454">
        <v>21</v>
      </c>
      <c r="G1454">
        <v>63</v>
      </c>
      <c r="H1454">
        <v>835</v>
      </c>
      <c r="I1454">
        <v>2.4532710280373831</v>
      </c>
      <c r="J1454">
        <v>97.546728971962608</v>
      </c>
      <c r="K1454" t="str">
        <f>_xlfn.XLOOKUP(tblProduction[[#This Row],[Product]],tblProducts[Product],tblProducts[Category],"Not Found")</f>
        <v>Precision</v>
      </c>
      <c r="L1454">
        <f>_xlfn.XLOOKUP(tblProduction[[#This Row],[Product]],tblProducts[Product],tblProducts[Target_Units],"Not Found")</f>
        <v>950</v>
      </c>
    </row>
    <row r="1455" spans="1:12" x14ac:dyDescent="0.3">
      <c r="A1455" s="1">
        <v>46186</v>
      </c>
      <c r="B1455" t="s">
        <v>9</v>
      </c>
      <c r="C1455" t="s">
        <v>12</v>
      </c>
      <c r="D1455" t="s">
        <v>14</v>
      </c>
      <c r="E1455">
        <v>770</v>
      </c>
      <c r="F1455">
        <v>25</v>
      </c>
      <c r="G1455">
        <v>38</v>
      </c>
      <c r="H1455">
        <v>745</v>
      </c>
      <c r="I1455">
        <v>3.2467532467532458</v>
      </c>
      <c r="J1455">
        <v>96.753246753246756</v>
      </c>
      <c r="K1455" t="str">
        <f>_xlfn.XLOOKUP(tblProduction[[#This Row],[Product]],tblProducts[Product],tblProducts[Category],"Not Found")</f>
        <v>Assembly</v>
      </c>
      <c r="L1455">
        <f>_xlfn.XLOOKUP(tblProduction[[#This Row],[Product]],tblProducts[Product],tblProducts[Target_Units],"Not Found")</f>
        <v>850</v>
      </c>
    </row>
    <row r="1456" spans="1:12" x14ac:dyDescent="0.3">
      <c r="A1456" s="1">
        <v>46186</v>
      </c>
      <c r="B1456" t="s">
        <v>15</v>
      </c>
      <c r="C1456" t="s">
        <v>13</v>
      </c>
      <c r="D1456" t="s">
        <v>11</v>
      </c>
      <c r="E1456">
        <v>840</v>
      </c>
      <c r="F1456">
        <v>29</v>
      </c>
      <c r="G1456">
        <v>25</v>
      </c>
      <c r="H1456">
        <v>811</v>
      </c>
      <c r="I1456">
        <v>3.452380952380953</v>
      </c>
      <c r="J1456">
        <v>96.547619047619051</v>
      </c>
      <c r="K1456" t="str">
        <f>_xlfn.XLOOKUP(tblProduction[[#This Row],[Product]],tblProducts[Product],tblProducts[Category],"Not Found")</f>
        <v>Precision</v>
      </c>
      <c r="L1456">
        <f>_xlfn.XLOOKUP(tblProduction[[#This Row],[Product]],tblProducts[Product],tblProducts[Target_Units],"Not Found")</f>
        <v>950</v>
      </c>
    </row>
    <row r="1457" spans="1:12" x14ac:dyDescent="0.3">
      <c r="A1457" s="1">
        <v>46186</v>
      </c>
      <c r="B1457" t="s">
        <v>17</v>
      </c>
      <c r="C1457" t="s">
        <v>10</v>
      </c>
      <c r="D1457" t="s">
        <v>14</v>
      </c>
      <c r="E1457">
        <v>643</v>
      </c>
      <c r="F1457">
        <v>27</v>
      </c>
      <c r="G1457">
        <v>86</v>
      </c>
      <c r="H1457">
        <v>616</v>
      </c>
      <c r="I1457">
        <v>4.1990668740279933</v>
      </c>
      <c r="J1457">
        <v>95.800933125972008</v>
      </c>
      <c r="K1457" t="str">
        <f>_xlfn.XLOOKUP(tblProduction[[#This Row],[Product]],tblProducts[Product],tblProducts[Category],"Not Found")</f>
        <v>Assembly</v>
      </c>
      <c r="L1457">
        <f>_xlfn.XLOOKUP(tblProduction[[#This Row],[Product]],tblProducts[Product],tblProducts[Target_Units],"Not Found")</f>
        <v>850</v>
      </c>
    </row>
    <row r="1458" spans="1:12" x14ac:dyDescent="0.3">
      <c r="A1458" s="1">
        <v>46186</v>
      </c>
      <c r="B1458" t="s">
        <v>17</v>
      </c>
      <c r="C1458" t="s">
        <v>12</v>
      </c>
      <c r="D1458" t="s">
        <v>16</v>
      </c>
      <c r="E1458">
        <v>801</v>
      </c>
      <c r="F1458">
        <v>28</v>
      </c>
      <c r="G1458">
        <v>49</v>
      </c>
      <c r="H1458">
        <v>773</v>
      </c>
      <c r="I1458">
        <v>3.4956304619225969</v>
      </c>
      <c r="J1458">
        <v>96.504369538077412</v>
      </c>
      <c r="K1458" t="str">
        <f>_xlfn.XLOOKUP(tblProduction[[#This Row],[Product]],tblProducts[Product],tblProducts[Category],"Not Found")</f>
        <v>Standard</v>
      </c>
      <c r="L1458">
        <f>_xlfn.XLOOKUP(tblProduction[[#This Row],[Product]],tblProducts[Product],tblProducts[Target_Units],"Not Found")</f>
        <v>1000</v>
      </c>
    </row>
    <row r="1459" spans="1:12" x14ac:dyDescent="0.3">
      <c r="A1459" s="1">
        <v>46186</v>
      </c>
      <c r="B1459" t="s">
        <v>17</v>
      </c>
      <c r="C1459" t="s">
        <v>13</v>
      </c>
      <c r="D1459" t="s">
        <v>11</v>
      </c>
      <c r="E1459">
        <v>713</v>
      </c>
      <c r="F1459">
        <v>32</v>
      </c>
      <c r="G1459">
        <v>47</v>
      </c>
      <c r="H1459">
        <v>681</v>
      </c>
      <c r="I1459">
        <v>4.4880785413744739</v>
      </c>
      <c r="J1459">
        <v>95.511921458625523</v>
      </c>
      <c r="K1459" t="str">
        <f>_xlfn.XLOOKUP(tblProduction[[#This Row],[Product]],tblProducts[Product],tblProducts[Category],"Not Found")</f>
        <v>Precision</v>
      </c>
      <c r="L1459">
        <f>_xlfn.XLOOKUP(tblProduction[[#This Row],[Product]],tblProducts[Product],tblProducts[Target_Units],"Not Found")</f>
        <v>950</v>
      </c>
    </row>
    <row r="1460" spans="1:12" x14ac:dyDescent="0.3">
      <c r="A1460" s="1">
        <v>46187</v>
      </c>
      <c r="B1460" t="s">
        <v>9</v>
      </c>
      <c r="C1460" t="s">
        <v>10</v>
      </c>
      <c r="D1460" t="s">
        <v>11</v>
      </c>
      <c r="E1460">
        <v>967</v>
      </c>
      <c r="F1460">
        <v>14</v>
      </c>
      <c r="G1460">
        <v>66</v>
      </c>
      <c r="H1460">
        <v>953</v>
      </c>
      <c r="I1460">
        <v>1.4477766287487071</v>
      </c>
      <c r="J1460">
        <v>98.552223371251287</v>
      </c>
      <c r="K1460" t="str">
        <f>_xlfn.XLOOKUP(tblProduction[[#This Row],[Product]],tblProducts[Product],tblProducts[Category],"Not Found")</f>
        <v>Precision</v>
      </c>
      <c r="L1460">
        <f>_xlfn.XLOOKUP(tblProduction[[#This Row],[Product]],tblProducts[Product],tblProducts[Target_Units],"Not Found")</f>
        <v>950</v>
      </c>
    </row>
    <row r="1461" spans="1:12" x14ac:dyDescent="0.3">
      <c r="A1461" s="1">
        <v>46187</v>
      </c>
      <c r="B1461" t="s">
        <v>9</v>
      </c>
      <c r="C1461" t="s">
        <v>12</v>
      </c>
      <c r="D1461" t="s">
        <v>16</v>
      </c>
      <c r="E1461">
        <v>899</v>
      </c>
      <c r="F1461">
        <v>13</v>
      </c>
      <c r="G1461">
        <v>83</v>
      </c>
      <c r="H1461">
        <v>886</v>
      </c>
      <c r="I1461">
        <v>1.446051167964405</v>
      </c>
      <c r="J1461">
        <v>98.553948832035601</v>
      </c>
      <c r="K1461" t="str">
        <f>_xlfn.XLOOKUP(tblProduction[[#This Row],[Product]],tblProducts[Product],tblProducts[Category],"Not Found")</f>
        <v>Standard</v>
      </c>
      <c r="L1461">
        <f>_xlfn.XLOOKUP(tblProduction[[#This Row],[Product]],tblProducts[Product],tblProducts[Target_Units],"Not Found")</f>
        <v>1000</v>
      </c>
    </row>
    <row r="1462" spans="1:12" x14ac:dyDescent="0.3">
      <c r="A1462" s="1">
        <v>46187</v>
      </c>
      <c r="B1462" t="s">
        <v>9</v>
      </c>
      <c r="C1462" t="s">
        <v>13</v>
      </c>
      <c r="D1462" t="s">
        <v>18</v>
      </c>
      <c r="E1462">
        <v>803</v>
      </c>
      <c r="F1462">
        <v>20</v>
      </c>
      <c r="G1462">
        <v>22</v>
      </c>
      <c r="H1462">
        <v>783</v>
      </c>
      <c r="I1462">
        <v>2.4906600249066</v>
      </c>
      <c r="J1462">
        <v>97.509339975093397</v>
      </c>
      <c r="K1462" t="str">
        <f>_xlfn.XLOOKUP(tblProduction[[#This Row],[Product]],tblProducts[Product],tblProducts[Category],"Not Found")</f>
        <v>Assembly</v>
      </c>
      <c r="L1462">
        <f>_xlfn.XLOOKUP(tblProduction[[#This Row],[Product]],tblProducts[Product],tblProducts[Target_Units],"Not Found")</f>
        <v>900</v>
      </c>
    </row>
    <row r="1463" spans="1:12" x14ac:dyDescent="0.3">
      <c r="A1463" s="1">
        <v>46187</v>
      </c>
      <c r="B1463" t="s">
        <v>15</v>
      </c>
      <c r="C1463" t="s">
        <v>10</v>
      </c>
      <c r="D1463" t="s">
        <v>18</v>
      </c>
      <c r="E1463">
        <v>785</v>
      </c>
      <c r="F1463">
        <v>19</v>
      </c>
      <c r="G1463">
        <v>80</v>
      </c>
      <c r="H1463">
        <v>766</v>
      </c>
      <c r="I1463">
        <v>2.4203821656050959</v>
      </c>
      <c r="J1463">
        <v>97.579617834394909</v>
      </c>
      <c r="K1463" t="str">
        <f>_xlfn.XLOOKUP(tblProduction[[#This Row],[Product]],tblProducts[Product],tblProducts[Category],"Not Found")</f>
        <v>Assembly</v>
      </c>
      <c r="L1463">
        <f>_xlfn.XLOOKUP(tblProduction[[#This Row],[Product]],tblProducts[Product],tblProducts[Target_Units],"Not Found")</f>
        <v>900</v>
      </c>
    </row>
    <row r="1464" spans="1:12" x14ac:dyDescent="0.3">
      <c r="A1464" s="1">
        <v>46187</v>
      </c>
      <c r="B1464" t="s">
        <v>15</v>
      </c>
      <c r="C1464" t="s">
        <v>12</v>
      </c>
      <c r="D1464" t="s">
        <v>14</v>
      </c>
      <c r="E1464">
        <v>780</v>
      </c>
      <c r="F1464">
        <v>25</v>
      </c>
      <c r="G1464">
        <v>22</v>
      </c>
      <c r="H1464">
        <v>755</v>
      </c>
      <c r="I1464">
        <v>3.2051282051282048</v>
      </c>
      <c r="J1464">
        <v>96.794871794871796</v>
      </c>
      <c r="K1464" t="str">
        <f>_xlfn.XLOOKUP(tblProduction[[#This Row],[Product]],tblProducts[Product],tblProducts[Category],"Not Found")</f>
        <v>Assembly</v>
      </c>
      <c r="L1464">
        <f>_xlfn.XLOOKUP(tblProduction[[#This Row],[Product]],tblProducts[Product],tblProducts[Target_Units],"Not Found")</f>
        <v>850</v>
      </c>
    </row>
    <row r="1465" spans="1:12" x14ac:dyDescent="0.3">
      <c r="A1465" s="1">
        <v>46187</v>
      </c>
      <c r="B1465" t="s">
        <v>15</v>
      </c>
      <c r="C1465" t="s">
        <v>13</v>
      </c>
      <c r="D1465" t="s">
        <v>11</v>
      </c>
      <c r="E1465">
        <v>814</v>
      </c>
      <c r="F1465">
        <v>28</v>
      </c>
      <c r="G1465">
        <v>42</v>
      </c>
      <c r="H1465">
        <v>786</v>
      </c>
      <c r="I1465">
        <v>3.4398034398034398</v>
      </c>
      <c r="J1465">
        <v>96.560196560196559</v>
      </c>
      <c r="K1465" t="str">
        <f>_xlfn.XLOOKUP(tblProduction[[#This Row],[Product]],tblProducts[Product],tblProducts[Category],"Not Found")</f>
        <v>Precision</v>
      </c>
      <c r="L1465">
        <f>_xlfn.XLOOKUP(tblProduction[[#This Row],[Product]],tblProducts[Product],tblProducts[Target_Units],"Not Found")</f>
        <v>950</v>
      </c>
    </row>
    <row r="1466" spans="1:12" x14ac:dyDescent="0.3">
      <c r="A1466" s="1">
        <v>46187</v>
      </c>
      <c r="B1466" t="s">
        <v>17</v>
      </c>
      <c r="C1466" t="s">
        <v>10</v>
      </c>
      <c r="D1466" t="s">
        <v>18</v>
      </c>
      <c r="E1466">
        <v>774</v>
      </c>
      <c r="F1466">
        <v>27</v>
      </c>
      <c r="G1466">
        <v>16</v>
      </c>
      <c r="H1466">
        <v>747</v>
      </c>
      <c r="I1466">
        <v>3.4883720930232558</v>
      </c>
      <c r="J1466">
        <v>96.511627906976756</v>
      </c>
      <c r="K1466" t="str">
        <f>_xlfn.XLOOKUP(tblProduction[[#This Row],[Product]],tblProducts[Product],tblProducts[Category],"Not Found")</f>
        <v>Assembly</v>
      </c>
      <c r="L1466">
        <f>_xlfn.XLOOKUP(tblProduction[[#This Row],[Product]],tblProducts[Product],tblProducts[Target_Units],"Not Found")</f>
        <v>900</v>
      </c>
    </row>
    <row r="1467" spans="1:12" x14ac:dyDescent="0.3">
      <c r="A1467" s="1">
        <v>46187</v>
      </c>
      <c r="B1467" t="s">
        <v>17</v>
      </c>
      <c r="C1467" t="s">
        <v>12</v>
      </c>
      <c r="D1467" t="s">
        <v>16</v>
      </c>
      <c r="E1467">
        <v>786</v>
      </c>
      <c r="F1467">
        <v>27</v>
      </c>
      <c r="G1467">
        <v>36</v>
      </c>
      <c r="H1467">
        <v>759</v>
      </c>
      <c r="I1467">
        <v>3.4351145038167941</v>
      </c>
      <c r="J1467">
        <v>96.564885496183209</v>
      </c>
      <c r="K1467" t="str">
        <f>_xlfn.XLOOKUP(tblProduction[[#This Row],[Product]],tblProducts[Product],tblProducts[Category],"Not Found")</f>
        <v>Standard</v>
      </c>
      <c r="L1467">
        <f>_xlfn.XLOOKUP(tblProduction[[#This Row],[Product]],tblProducts[Product],tblProducts[Target_Units],"Not Found")</f>
        <v>1000</v>
      </c>
    </row>
    <row r="1468" spans="1:12" x14ac:dyDescent="0.3">
      <c r="A1468" s="1">
        <v>46187</v>
      </c>
      <c r="B1468" t="s">
        <v>17</v>
      </c>
      <c r="C1468" t="s">
        <v>13</v>
      </c>
      <c r="D1468" t="s">
        <v>11</v>
      </c>
      <c r="E1468">
        <v>677</v>
      </c>
      <c r="F1468">
        <v>30</v>
      </c>
      <c r="G1468">
        <v>70</v>
      </c>
      <c r="H1468">
        <v>647</v>
      </c>
      <c r="I1468">
        <v>4.431314623338257</v>
      </c>
      <c r="J1468">
        <v>95.568685376661747</v>
      </c>
      <c r="K1468" t="str">
        <f>_xlfn.XLOOKUP(tblProduction[[#This Row],[Product]],tblProducts[Product],tblProducts[Category],"Not Found")</f>
        <v>Precision</v>
      </c>
      <c r="L1468">
        <f>_xlfn.XLOOKUP(tblProduction[[#This Row],[Product]],tblProducts[Product],tblProducts[Target_Units],"Not Found")</f>
        <v>950</v>
      </c>
    </row>
    <row r="1469" spans="1:12" x14ac:dyDescent="0.3">
      <c r="A1469" s="1">
        <v>46188</v>
      </c>
      <c r="B1469" t="s">
        <v>9</v>
      </c>
      <c r="C1469" t="s">
        <v>10</v>
      </c>
      <c r="D1469" t="s">
        <v>16</v>
      </c>
      <c r="E1469">
        <v>998</v>
      </c>
      <c r="F1469">
        <v>14</v>
      </c>
      <c r="G1469">
        <v>55</v>
      </c>
      <c r="H1469">
        <v>984</v>
      </c>
      <c r="I1469">
        <v>1.402805611222445</v>
      </c>
      <c r="J1469">
        <v>98.597194388777552</v>
      </c>
      <c r="K1469" t="str">
        <f>_xlfn.XLOOKUP(tblProduction[[#This Row],[Product]],tblProducts[Product],tblProducts[Category],"Not Found")</f>
        <v>Standard</v>
      </c>
      <c r="L1469">
        <f>_xlfn.XLOOKUP(tblProduction[[#This Row],[Product]],tblProducts[Product],tblProducts[Target_Units],"Not Found")</f>
        <v>1000</v>
      </c>
    </row>
    <row r="1470" spans="1:12" x14ac:dyDescent="0.3">
      <c r="A1470" s="1">
        <v>46188</v>
      </c>
      <c r="B1470" t="s">
        <v>9</v>
      </c>
      <c r="C1470" t="s">
        <v>12</v>
      </c>
      <c r="D1470" t="s">
        <v>11</v>
      </c>
      <c r="E1470">
        <v>910</v>
      </c>
      <c r="F1470">
        <v>13</v>
      </c>
      <c r="G1470">
        <v>60</v>
      </c>
      <c r="H1470">
        <v>897</v>
      </c>
      <c r="I1470">
        <v>1.428571428571429</v>
      </c>
      <c r="J1470">
        <v>98.571428571428584</v>
      </c>
      <c r="K1470" t="str">
        <f>_xlfn.XLOOKUP(tblProduction[[#This Row],[Product]],tblProducts[Product],tblProducts[Category],"Not Found")</f>
        <v>Precision</v>
      </c>
      <c r="L1470">
        <f>_xlfn.XLOOKUP(tblProduction[[#This Row],[Product]],tblProducts[Product],tblProducts[Target_Units],"Not Found")</f>
        <v>950</v>
      </c>
    </row>
    <row r="1471" spans="1:12" x14ac:dyDescent="0.3">
      <c r="A1471" s="1">
        <v>46188</v>
      </c>
      <c r="B1471" t="s">
        <v>9</v>
      </c>
      <c r="C1471" t="s">
        <v>13</v>
      </c>
      <c r="D1471" t="s">
        <v>14</v>
      </c>
      <c r="E1471">
        <v>729</v>
      </c>
      <c r="F1471">
        <v>24</v>
      </c>
      <c r="G1471">
        <v>47</v>
      </c>
      <c r="H1471">
        <v>705</v>
      </c>
      <c r="I1471">
        <v>3.2921810699588478</v>
      </c>
      <c r="J1471">
        <v>96.707818930041157</v>
      </c>
      <c r="K1471" t="str">
        <f>_xlfn.XLOOKUP(tblProduction[[#This Row],[Product]],tblProducts[Product],tblProducts[Category],"Not Found")</f>
        <v>Assembly</v>
      </c>
      <c r="L1471">
        <f>_xlfn.XLOOKUP(tblProduction[[#This Row],[Product]],tblProducts[Product],tblProducts[Target_Units],"Not Found")</f>
        <v>850</v>
      </c>
    </row>
    <row r="1472" spans="1:12" x14ac:dyDescent="0.3">
      <c r="A1472" s="1">
        <v>46188</v>
      </c>
      <c r="B1472" t="s">
        <v>15</v>
      </c>
      <c r="C1472" t="s">
        <v>10</v>
      </c>
      <c r="D1472" t="s">
        <v>11</v>
      </c>
      <c r="E1472">
        <v>946</v>
      </c>
      <c r="F1472">
        <v>23</v>
      </c>
      <c r="G1472">
        <v>25</v>
      </c>
      <c r="H1472">
        <v>923</v>
      </c>
      <c r="I1472">
        <v>2.4312896405919662</v>
      </c>
      <c r="J1472">
        <v>97.56871035940803</v>
      </c>
      <c r="K1472" t="str">
        <f>_xlfn.XLOOKUP(tblProduction[[#This Row],[Product]],tblProducts[Product],tblProducts[Category],"Not Found")</f>
        <v>Precision</v>
      </c>
      <c r="L1472">
        <f>_xlfn.XLOOKUP(tblProduction[[#This Row],[Product]],tblProducts[Product],tblProducts[Target_Units],"Not Found")</f>
        <v>950</v>
      </c>
    </row>
    <row r="1473" spans="1:12" x14ac:dyDescent="0.3">
      <c r="A1473" s="1">
        <v>46188</v>
      </c>
      <c r="B1473" t="s">
        <v>15</v>
      </c>
      <c r="C1473" t="s">
        <v>12</v>
      </c>
      <c r="D1473" t="s">
        <v>11</v>
      </c>
      <c r="E1473">
        <v>772</v>
      </c>
      <c r="F1473">
        <v>19</v>
      </c>
      <c r="G1473">
        <v>75</v>
      </c>
      <c r="H1473">
        <v>753</v>
      </c>
      <c r="I1473">
        <v>2.4611398963730569</v>
      </c>
      <c r="J1473">
        <v>97.538860103626945</v>
      </c>
      <c r="K1473" t="str">
        <f>_xlfn.XLOOKUP(tblProduction[[#This Row],[Product]],tblProducts[Product],tblProducts[Category],"Not Found")</f>
        <v>Precision</v>
      </c>
      <c r="L1473">
        <f>_xlfn.XLOOKUP(tblProduction[[#This Row],[Product]],tblProducts[Product],tblProducts[Target_Units],"Not Found")</f>
        <v>950</v>
      </c>
    </row>
    <row r="1474" spans="1:12" x14ac:dyDescent="0.3">
      <c r="A1474" s="1">
        <v>46188</v>
      </c>
      <c r="B1474" t="s">
        <v>15</v>
      </c>
      <c r="C1474" t="s">
        <v>13</v>
      </c>
      <c r="D1474" t="s">
        <v>11</v>
      </c>
      <c r="E1474">
        <v>713</v>
      </c>
      <c r="F1474">
        <v>24</v>
      </c>
      <c r="G1474">
        <v>65</v>
      </c>
      <c r="H1474">
        <v>689</v>
      </c>
      <c r="I1474">
        <v>3.366058906030855</v>
      </c>
      <c r="J1474">
        <v>96.633941093969142</v>
      </c>
      <c r="K1474" t="str">
        <f>_xlfn.XLOOKUP(tblProduction[[#This Row],[Product]],tblProducts[Product],tblProducts[Category],"Not Found")</f>
        <v>Precision</v>
      </c>
      <c r="L1474">
        <f>_xlfn.XLOOKUP(tblProduction[[#This Row],[Product]],tblProducts[Product],tblProducts[Target_Units],"Not Found")</f>
        <v>950</v>
      </c>
    </row>
    <row r="1475" spans="1:12" x14ac:dyDescent="0.3">
      <c r="A1475" s="1">
        <v>46188</v>
      </c>
      <c r="B1475" t="s">
        <v>17</v>
      </c>
      <c r="C1475" t="s">
        <v>10</v>
      </c>
      <c r="D1475" t="s">
        <v>11</v>
      </c>
      <c r="E1475">
        <v>797</v>
      </c>
      <c r="F1475">
        <v>27</v>
      </c>
      <c r="G1475">
        <v>15</v>
      </c>
      <c r="H1475">
        <v>770</v>
      </c>
      <c r="I1475">
        <v>3.3877038895859481</v>
      </c>
      <c r="J1475">
        <v>96.61229611041405</v>
      </c>
      <c r="K1475" t="str">
        <f>_xlfn.XLOOKUP(tblProduction[[#This Row],[Product]],tblProducts[Product],tblProducts[Category],"Not Found")</f>
        <v>Precision</v>
      </c>
      <c r="L1475">
        <f>_xlfn.XLOOKUP(tblProduction[[#This Row],[Product]],tblProducts[Product],tblProducts[Target_Units],"Not Found")</f>
        <v>950</v>
      </c>
    </row>
    <row r="1476" spans="1:12" x14ac:dyDescent="0.3">
      <c r="A1476" s="1">
        <v>46188</v>
      </c>
      <c r="B1476" t="s">
        <v>17</v>
      </c>
      <c r="C1476" t="s">
        <v>12</v>
      </c>
      <c r="D1476" t="s">
        <v>14</v>
      </c>
      <c r="E1476">
        <v>692</v>
      </c>
      <c r="F1476">
        <v>29</v>
      </c>
      <c r="G1476">
        <v>1</v>
      </c>
      <c r="H1476">
        <v>663</v>
      </c>
      <c r="I1476">
        <v>4.1907514450867049</v>
      </c>
      <c r="J1476">
        <v>95.809248554913296</v>
      </c>
      <c r="K1476" t="str">
        <f>_xlfn.XLOOKUP(tblProduction[[#This Row],[Product]],tblProducts[Product],tblProducts[Category],"Not Found")</f>
        <v>Assembly</v>
      </c>
      <c r="L1476">
        <f>_xlfn.XLOOKUP(tblProduction[[#This Row],[Product]],tblProducts[Product],tblProducts[Target_Units],"Not Found")</f>
        <v>850</v>
      </c>
    </row>
    <row r="1477" spans="1:12" x14ac:dyDescent="0.3">
      <c r="A1477" s="1">
        <v>46188</v>
      </c>
      <c r="B1477" t="s">
        <v>17</v>
      </c>
      <c r="C1477" t="s">
        <v>13</v>
      </c>
      <c r="D1477" t="s">
        <v>18</v>
      </c>
      <c r="E1477">
        <v>642</v>
      </c>
      <c r="F1477">
        <v>28</v>
      </c>
      <c r="G1477">
        <v>37</v>
      </c>
      <c r="H1477">
        <v>614</v>
      </c>
      <c r="I1477">
        <v>4.361370716510903</v>
      </c>
      <c r="J1477">
        <v>95.638629283489095</v>
      </c>
      <c r="K1477" t="str">
        <f>_xlfn.XLOOKUP(tblProduction[[#This Row],[Product]],tblProducts[Product],tblProducts[Category],"Not Found")</f>
        <v>Assembly</v>
      </c>
      <c r="L1477">
        <f>_xlfn.XLOOKUP(tblProduction[[#This Row],[Product]],tblProducts[Product],tblProducts[Target_Units],"Not Found")</f>
        <v>900</v>
      </c>
    </row>
    <row r="1478" spans="1:12" x14ac:dyDescent="0.3">
      <c r="A1478" s="1">
        <v>46189</v>
      </c>
      <c r="B1478" t="s">
        <v>9</v>
      </c>
      <c r="C1478" t="s">
        <v>10</v>
      </c>
      <c r="D1478" t="s">
        <v>16</v>
      </c>
      <c r="E1478">
        <v>1034</v>
      </c>
      <c r="F1478">
        <v>15</v>
      </c>
      <c r="G1478">
        <v>48</v>
      </c>
      <c r="H1478">
        <v>1019</v>
      </c>
      <c r="I1478">
        <v>1.4506769825918759</v>
      </c>
      <c r="J1478">
        <v>98.549323017408113</v>
      </c>
      <c r="K1478" t="str">
        <f>_xlfn.XLOOKUP(tblProduction[[#This Row],[Product]],tblProducts[Product],tblProducts[Category],"Not Found")</f>
        <v>Standard</v>
      </c>
      <c r="L1478">
        <f>_xlfn.XLOOKUP(tblProduction[[#This Row],[Product]],tblProducts[Product],tblProducts[Target_Units],"Not Found")</f>
        <v>1000</v>
      </c>
    </row>
    <row r="1479" spans="1:12" x14ac:dyDescent="0.3">
      <c r="A1479" s="1">
        <v>46189</v>
      </c>
      <c r="B1479" t="s">
        <v>9</v>
      </c>
      <c r="C1479" t="s">
        <v>12</v>
      </c>
      <c r="D1479" t="s">
        <v>14</v>
      </c>
      <c r="E1479">
        <v>847</v>
      </c>
      <c r="F1479">
        <v>19</v>
      </c>
      <c r="G1479">
        <v>2</v>
      </c>
      <c r="H1479">
        <v>828</v>
      </c>
      <c r="I1479">
        <v>2.2432113341204252</v>
      </c>
      <c r="J1479">
        <v>97.756788665879583</v>
      </c>
      <c r="K1479" t="str">
        <f>_xlfn.XLOOKUP(tblProduction[[#This Row],[Product]],tblProducts[Product],tblProducts[Category],"Not Found")</f>
        <v>Assembly</v>
      </c>
      <c r="L1479">
        <f>_xlfn.XLOOKUP(tblProduction[[#This Row],[Product]],tblProducts[Product],tblProducts[Target_Units],"Not Found")</f>
        <v>850</v>
      </c>
    </row>
    <row r="1480" spans="1:12" x14ac:dyDescent="0.3">
      <c r="A1480" s="1">
        <v>46189</v>
      </c>
      <c r="B1480" t="s">
        <v>9</v>
      </c>
      <c r="C1480" t="s">
        <v>13</v>
      </c>
      <c r="D1480" t="s">
        <v>14</v>
      </c>
      <c r="E1480">
        <v>672</v>
      </c>
      <c r="F1480">
        <v>22</v>
      </c>
      <c r="G1480">
        <v>88</v>
      </c>
      <c r="H1480">
        <v>650</v>
      </c>
      <c r="I1480">
        <v>3.2738095238095242</v>
      </c>
      <c r="J1480">
        <v>96.726190476190482</v>
      </c>
      <c r="K1480" t="str">
        <f>_xlfn.XLOOKUP(tblProduction[[#This Row],[Product]],tblProducts[Product],tblProducts[Category],"Not Found")</f>
        <v>Assembly</v>
      </c>
      <c r="L1480">
        <f>_xlfn.XLOOKUP(tblProduction[[#This Row],[Product]],tblProducts[Product],tblProducts[Target_Units],"Not Found")</f>
        <v>850</v>
      </c>
    </row>
    <row r="1481" spans="1:12" x14ac:dyDescent="0.3">
      <c r="A1481" s="1">
        <v>46189</v>
      </c>
      <c r="B1481" t="s">
        <v>15</v>
      </c>
      <c r="C1481" t="s">
        <v>10</v>
      </c>
      <c r="D1481" t="s">
        <v>11</v>
      </c>
      <c r="E1481">
        <v>969</v>
      </c>
      <c r="F1481">
        <v>24</v>
      </c>
      <c r="G1481">
        <v>1</v>
      </c>
      <c r="H1481">
        <v>945</v>
      </c>
      <c r="I1481">
        <v>2.4767801857585141</v>
      </c>
      <c r="J1481">
        <v>97.523219814241486</v>
      </c>
      <c r="K1481" t="str">
        <f>_xlfn.XLOOKUP(tblProduction[[#This Row],[Product]],tblProducts[Product],tblProducts[Category],"Not Found")</f>
        <v>Precision</v>
      </c>
      <c r="L1481">
        <f>_xlfn.XLOOKUP(tblProduction[[#This Row],[Product]],tblProducts[Product],tblProducts[Target_Units],"Not Found")</f>
        <v>950</v>
      </c>
    </row>
    <row r="1482" spans="1:12" x14ac:dyDescent="0.3">
      <c r="A1482" s="1">
        <v>46189</v>
      </c>
      <c r="B1482" t="s">
        <v>15</v>
      </c>
      <c r="C1482" t="s">
        <v>12</v>
      </c>
      <c r="D1482" t="s">
        <v>14</v>
      </c>
      <c r="E1482">
        <v>756</v>
      </c>
      <c r="F1482">
        <v>24</v>
      </c>
      <c r="G1482">
        <v>50</v>
      </c>
      <c r="H1482">
        <v>732</v>
      </c>
      <c r="I1482">
        <v>3.174603174603174</v>
      </c>
      <c r="J1482">
        <v>96.825396825396822</v>
      </c>
      <c r="K1482" t="str">
        <f>_xlfn.XLOOKUP(tblProduction[[#This Row],[Product]],tblProducts[Product],tblProducts[Category],"Not Found")</f>
        <v>Assembly</v>
      </c>
      <c r="L1482">
        <f>_xlfn.XLOOKUP(tblProduction[[#This Row],[Product]],tblProducts[Product],tblProducts[Target_Units],"Not Found")</f>
        <v>850</v>
      </c>
    </row>
    <row r="1483" spans="1:12" x14ac:dyDescent="0.3">
      <c r="A1483" s="1">
        <v>46189</v>
      </c>
      <c r="B1483" t="s">
        <v>15</v>
      </c>
      <c r="C1483" t="s">
        <v>13</v>
      </c>
      <c r="D1483" t="s">
        <v>16</v>
      </c>
      <c r="E1483">
        <v>882</v>
      </c>
      <c r="F1483">
        <v>30</v>
      </c>
      <c r="G1483">
        <v>1</v>
      </c>
      <c r="H1483">
        <v>852</v>
      </c>
      <c r="I1483">
        <v>3.4013605442176869</v>
      </c>
      <c r="J1483">
        <v>96.598639455782305</v>
      </c>
      <c r="K1483" t="str">
        <f>_xlfn.XLOOKUP(tblProduction[[#This Row],[Product]],tblProducts[Product],tblProducts[Category],"Not Found")</f>
        <v>Standard</v>
      </c>
      <c r="L1483">
        <f>_xlfn.XLOOKUP(tblProduction[[#This Row],[Product]],tblProducts[Product],tblProducts[Target_Units],"Not Found")</f>
        <v>1000</v>
      </c>
    </row>
    <row r="1484" spans="1:12" x14ac:dyDescent="0.3">
      <c r="A1484" s="1">
        <v>46189</v>
      </c>
      <c r="B1484" t="s">
        <v>17</v>
      </c>
      <c r="C1484" t="s">
        <v>10</v>
      </c>
      <c r="D1484" t="s">
        <v>16</v>
      </c>
      <c r="E1484">
        <v>830</v>
      </c>
      <c r="F1484">
        <v>29</v>
      </c>
      <c r="G1484">
        <v>68</v>
      </c>
      <c r="H1484">
        <v>801</v>
      </c>
      <c r="I1484">
        <v>3.4939759036144582</v>
      </c>
      <c r="J1484">
        <v>96.506024096385545</v>
      </c>
      <c r="K1484" t="str">
        <f>_xlfn.XLOOKUP(tblProduction[[#This Row],[Product]],tblProducts[Product],tblProducts[Category],"Not Found")</f>
        <v>Standard</v>
      </c>
      <c r="L1484">
        <f>_xlfn.XLOOKUP(tblProduction[[#This Row],[Product]],tblProducts[Product],tblProducts[Target_Units],"Not Found")</f>
        <v>1000</v>
      </c>
    </row>
    <row r="1485" spans="1:12" x14ac:dyDescent="0.3">
      <c r="A1485" s="1">
        <v>46189</v>
      </c>
      <c r="B1485" t="s">
        <v>17</v>
      </c>
      <c r="C1485" t="s">
        <v>12</v>
      </c>
      <c r="D1485" t="s">
        <v>18</v>
      </c>
      <c r="E1485">
        <v>728</v>
      </c>
      <c r="F1485">
        <v>25</v>
      </c>
      <c r="G1485">
        <v>53</v>
      </c>
      <c r="H1485">
        <v>703</v>
      </c>
      <c r="I1485">
        <v>3.4340659340659339</v>
      </c>
      <c r="J1485">
        <v>96.565934065934073</v>
      </c>
      <c r="K1485" t="str">
        <f>_xlfn.XLOOKUP(tblProduction[[#This Row],[Product]],tblProducts[Product],tblProducts[Category],"Not Found")</f>
        <v>Assembly</v>
      </c>
      <c r="L1485">
        <f>_xlfn.XLOOKUP(tblProduction[[#This Row],[Product]],tblProducts[Product],tblProducts[Target_Units],"Not Found")</f>
        <v>900</v>
      </c>
    </row>
    <row r="1486" spans="1:12" x14ac:dyDescent="0.3">
      <c r="A1486" s="1">
        <v>46189</v>
      </c>
      <c r="B1486" t="s">
        <v>17</v>
      </c>
      <c r="C1486" t="s">
        <v>13</v>
      </c>
      <c r="D1486" t="s">
        <v>16</v>
      </c>
      <c r="E1486">
        <v>787</v>
      </c>
      <c r="F1486">
        <v>35</v>
      </c>
      <c r="G1486">
        <v>21</v>
      </c>
      <c r="H1486">
        <v>752</v>
      </c>
      <c r="I1486">
        <v>4.4472681067344348</v>
      </c>
      <c r="J1486">
        <v>95.552731893265559</v>
      </c>
      <c r="K1486" t="str">
        <f>_xlfn.XLOOKUP(tblProduction[[#This Row],[Product]],tblProducts[Product],tblProducts[Category],"Not Found")</f>
        <v>Standard</v>
      </c>
      <c r="L1486">
        <f>_xlfn.XLOOKUP(tblProduction[[#This Row],[Product]],tblProducts[Product],tblProducts[Target_Units],"Not Found")</f>
        <v>1000</v>
      </c>
    </row>
    <row r="1487" spans="1:12" x14ac:dyDescent="0.3">
      <c r="A1487" s="1">
        <v>46190</v>
      </c>
      <c r="B1487" t="s">
        <v>9</v>
      </c>
      <c r="C1487" t="s">
        <v>10</v>
      </c>
      <c r="D1487" t="s">
        <v>11</v>
      </c>
      <c r="E1487">
        <v>971</v>
      </c>
      <c r="F1487">
        <v>14</v>
      </c>
      <c r="G1487">
        <v>17</v>
      </c>
      <c r="H1487">
        <v>957</v>
      </c>
      <c r="I1487">
        <v>1.441812564366632</v>
      </c>
      <c r="J1487">
        <v>98.558187435633371</v>
      </c>
      <c r="K1487" t="str">
        <f>_xlfn.XLOOKUP(tblProduction[[#This Row],[Product]],tblProducts[Product],tblProducts[Category],"Not Found")</f>
        <v>Precision</v>
      </c>
      <c r="L1487">
        <f>_xlfn.XLOOKUP(tblProduction[[#This Row],[Product]],tblProducts[Product],tblProducts[Target_Units],"Not Found")</f>
        <v>950</v>
      </c>
    </row>
    <row r="1488" spans="1:12" x14ac:dyDescent="0.3">
      <c r="A1488" s="1">
        <v>46190</v>
      </c>
      <c r="B1488" t="s">
        <v>9</v>
      </c>
      <c r="C1488" t="s">
        <v>12</v>
      </c>
      <c r="D1488" t="s">
        <v>11</v>
      </c>
      <c r="E1488">
        <v>907</v>
      </c>
      <c r="F1488">
        <v>13</v>
      </c>
      <c r="G1488">
        <v>69</v>
      </c>
      <c r="H1488">
        <v>894</v>
      </c>
      <c r="I1488">
        <v>1.4332965821389201</v>
      </c>
      <c r="J1488">
        <v>98.566703417861078</v>
      </c>
      <c r="K1488" t="str">
        <f>_xlfn.XLOOKUP(tblProduction[[#This Row],[Product]],tblProducts[Product],tblProducts[Category],"Not Found")</f>
        <v>Precision</v>
      </c>
      <c r="L1488">
        <f>_xlfn.XLOOKUP(tblProduction[[#This Row],[Product]],tblProducts[Product],tblProducts[Target_Units],"Not Found")</f>
        <v>950</v>
      </c>
    </row>
    <row r="1489" spans="1:12" x14ac:dyDescent="0.3">
      <c r="A1489" s="1">
        <v>46190</v>
      </c>
      <c r="B1489" t="s">
        <v>9</v>
      </c>
      <c r="C1489" t="s">
        <v>13</v>
      </c>
      <c r="D1489" t="s">
        <v>18</v>
      </c>
      <c r="E1489">
        <v>741</v>
      </c>
      <c r="F1489">
        <v>18</v>
      </c>
      <c r="G1489">
        <v>77</v>
      </c>
      <c r="H1489">
        <v>723</v>
      </c>
      <c r="I1489">
        <v>2.42914979757085</v>
      </c>
      <c r="J1489">
        <v>97.570850202429142</v>
      </c>
      <c r="K1489" t="str">
        <f>_xlfn.XLOOKUP(tblProduction[[#This Row],[Product]],tblProducts[Product],tblProducts[Category],"Not Found")</f>
        <v>Assembly</v>
      </c>
      <c r="L1489">
        <f>_xlfn.XLOOKUP(tblProduction[[#This Row],[Product]],tblProducts[Product],tblProducts[Target_Units],"Not Found")</f>
        <v>900</v>
      </c>
    </row>
    <row r="1490" spans="1:12" x14ac:dyDescent="0.3">
      <c r="A1490" s="1">
        <v>46190</v>
      </c>
      <c r="B1490" t="s">
        <v>15</v>
      </c>
      <c r="C1490" t="s">
        <v>10</v>
      </c>
      <c r="D1490" t="s">
        <v>16</v>
      </c>
      <c r="E1490">
        <v>904</v>
      </c>
      <c r="F1490">
        <v>22</v>
      </c>
      <c r="G1490">
        <v>72</v>
      </c>
      <c r="H1490">
        <v>882</v>
      </c>
      <c r="I1490">
        <v>2.4336283185840708</v>
      </c>
      <c r="J1490">
        <v>97.56637168141593</v>
      </c>
      <c r="K1490" t="str">
        <f>_xlfn.XLOOKUP(tblProduction[[#This Row],[Product]],tblProducts[Product],tblProducts[Category],"Not Found")</f>
        <v>Standard</v>
      </c>
      <c r="L1490">
        <f>_xlfn.XLOOKUP(tblProduction[[#This Row],[Product]],tblProducts[Product],tblProducts[Target_Units],"Not Found")</f>
        <v>1000</v>
      </c>
    </row>
    <row r="1491" spans="1:12" x14ac:dyDescent="0.3">
      <c r="A1491" s="1">
        <v>46190</v>
      </c>
      <c r="B1491" t="s">
        <v>15</v>
      </c>
      <c r="C1491" t="s">
        <v>12</v>
      </c>
      <c r="D1491" t="s">
        <v>16</v>
      </c>
      <c r="E1491">
        <v>896</v>
      </c>
      <c r="F1491">
        <v>22</v>
      </c>
      <c r="G1491">
        <v>52</v>
      </c>
      <c r="H1491">
        <v>874</v>
      </c>
      <c r="I1491">
        <v>2.4553571428571428</v>
      </c>
      <c r="J1491">
        <v>97.544642857142861</v>
      </c>
      <c r="K1491" t="str">
        <f>_xlfn.XLOOKUP(tblProduction[[#This Row],[Product]],tblProducts[Product],tblProducts[Category],"Not Found")</f>
        <v>Standard</v>
      </c>
      <c r="L1491">
        <f>_xlfn.XLOOKUP(tblProduction[[#This Row],[Product]],tblProducts[Product],tblProducts[Target_Units],"Not Found")</f>
        <v>1000</v>
      </c>
    </row>
    <row r="1492" spans="1:12" x14ac:dyDescent="0.3">
      <c r="A1492" s="1">
        <v>46190</v>
      </c>
      <c r="B1492" t="s">
        <v>15</v>
      </c>
      <c r="C1492" t="s">
        <v>13</v>
      </c>
      <c r="D1492" t="s">
        <v>14</v>
      </c>
      <c r="E1492">
        <v>640</v>
      </c>
      <c r="F1492">
        <v>27</v>
      </c>
      <c r="G1492">
        <v>68</v>
      </c>
      <c r="H1492">
        <v>613</v>
      </c>
      <c r="I1492">
        <v>4.21875</v>
      </c>
      <c r="J1492">
        <v>95.78125</v>
      </c>
      <c r="K1492" t="str">
        <f>_xlfn.XLOOKUP(tblProduction[[#This Row],[Product]],tblProducts[Product],tblProducts[Category],"Not Found")</f>
        <v>Assembly</v>
      </c>
      <c r="L1492">
        <f>_xlfn.XLOOKUP(tblProduction[[#This Row],[Product]],tblProducts[Product],tblProducts[Target_Units],"Not Found")</f>
        <v>850</v>
      </c>
    </row>
    <row r="1493" spans="1:12" x14ac:dyDescent="0.3">
      <c r="A1493" s="1">
        <v>46190</v>
      </c>
      <c r="B1493" t="s">
        <v>17</v>
      </c>
      <c r="C1493" t="s">
        <v>10</v>
      </c>
      <c r="D1493" t="s">
        <v>14</v>
      </c>
      <c r="E1493">
        <v>647</v>
      </c>
      <c r="F1493">
        <v>27</v>
      </c>
      <c r="G1493">
        <v>82</v>
      </c>
      <c r="H1493">
        <v>620</v>
      </c>
      <c r="I1493">
        <v>4.1731066460587316</v>
      </c>
      <c r="J1493">
        <v>95.826893353941273</v>
      </c>
      <c r="K1493" t="str">
        <f>_xlfn.XLOOKUP(tblProduction[[#This Row],[Product]],tblProducts[Product],tblProducts[Category],"Not Found")</f>
        <v>Assembly</v>
      </c>
      <c r="L1493">
        <f>_xlfn.XLOOKUP(tblProduction[[#This Row],[Product]],tblProducts[Product],tblProducts[Target_Units],"Not Found")</f>
        <v>850</v>
      </c>
    </row>
    <row r="1494" spans="1:12" x14ac:dyDescent="0.3">
      <c r="A1494" s="1">
        <v>46190</v>
      </c>
      <c r="B1494" t="s">
        <v>17</v>
      </c>
      <c r="C1494" t="s">
        <v>12</v>
      </c>
      <c r="D1494" t="s">
        <v>18</v>
      </c>
      <c r="E1494">
        <v>740</v>
      </c>
      <c r="F1494">
        <v>25</v>
      </c>
      <c r="G1494">
        <v>37</v>
      </c>
      <c r="H1494">
        <v>715</v>
      </c>
      <c r="I1494">
        <v>3.378378378378379</v>
      </c>
      <c r="J1494">
        <v>96.621621621621628</v>
      </c>
      <c r="K1494" t="str">
        <f>_xlfn.XLOOKUP(tblProduction[[#This Row],[Product]],tblProducts[Product],tblProducts[Category],"Not Found")</f>
        <v>Assembly</v>
      </c>
      <c r="L1494">
        <f>_xlfn.XLOOKUP(tblProduction[[#This Row],[Product]],tblProducts[Product],tblProducts[Target_Units],"Not Found")</f>
        <v>900</v>
      </c>
    </row>
    <row r="1495" spans="1:12" x14ac:dyDescent="0.3">
      <c r="A1495" s="1">
        <v>46190</v>
      </c>
      <c r="B1495" t="s">
        <v>17</v>
      </c>
      <c r="C1495" t="s">
        <v>13</v>
      </c>
      <c r="D1495" t="s">
        <v>16</v>
      </c>
      <c r="E1495">
        <v>722</v>
      </c>
      <c r="F1495">
        <v>32</v>
      </c>
      <c r="G1495">
        <v>73</v>
      </c>
      <c r="H1495">
        <v>690</v>
      </c>
      <c r="I1495">
        <v>4.43213296398892</v>
      </c>
      <c r="J1495">
        <v>95.56786703601108</v>
      </c>
      <c r="K1495" t="str">
        <f>_xlfn.XLOOKUP(tblProduction[[#This Row],[Product]],tblProducts[Product],tblProducts[Category],"Not Found")</f>
        <v>Standard</v>
      </c>
      <c r="L1495">
        <f>_xlfn.XLOOKUP(tblProduction[[#This Row],[Product]],tblProducts[Product],tblProducts[Target_Units],"Not Found")</f>
        <v>1000</v>
      </c>
    </row>
    <row r="1496" spans="1:12" x14ac:dyDescent="0.3">
      <c r="A1496" s="1">
        <v>46191</v>
      </c>
      <c r="B1496" t="s">
        <v>9</v>
      </c>
      <c r="C1496" t="s">
        <v>10</v>
      </c>
      <c r="D1496" t="s">
        <v>14</v>
      </c>
      <c r="E1496">
        <v>961</v>
      </c>
      <c r="F1496">
        <v>22</v>
      </c>
      <c r="G1496">
        <v>9</v>
      </c>
      <c r="H1496">
        <v>939</v>
      </c>
      <c r="I1496">
        <v>2.289281997918835</v>
      </c>
      <c r="J1496">
        <v>97.710718002081165</v>
      </c>
      <c r="K1496" t="str">
        <f>_xlfn.XLOOKUP(tblProduction[[#This Row],[Product]],tblProducts[Product],tblProducts[Category],"Not Found")</f>
        <v>Assembly</v>
      </c>
      <c r="L1496">
        <f>_xlfn.XLOOKUP(tblProduction[[#This Row],[Product]],tblProducts[Product],tblProducts[Target_Units],"Not Found")</f>
        <v>850</v>
      </c>
    </row>
    <row r="1497" spans="1:12" x14ac:dyDescent="0.3">
      <c r="A1497" s="1">
        <v>46191</v>
      </c>
      <c r="B1497" t="s">
        <v>9</v>
      </c>
      <c r="C1497" t="s">
        <v>12</v>
      </c>
      <c r="D1497" t="s">
        <v>16</v>
      </c>
      <c r="E1497">
        <v>895</v>
      </c>
      <c r="F1497">
        <v>13</v>
      </c>
      <c r="G1497">
        <v>61</v>
      </c>
      <c r="H1497">
        <v>882</v>
      </c>
      <c r="I1497">
        <v>1.4525139664804469</v>
      </c>
      <c r="J1497">
        <v>98.547486033519547</v>
      </c>
      <c r="K1497" t="str">
        <f>_xlfn.XLOOKUP(tblProduction[[#This Row],[Product]],tblProducts[Product],tblProducts[Category],"Not Found")</f>
        <v>Standard</v>
      </c>
      <c r="L1497">
        <f>_xlfn.XLOOKUP(tblProduction[[#This Row],[Product]],tblProducts[Product],tblProducts[Target_Units],"Not Found")</f>
        <v>1000</v>
      </c>
    </row>
    <row r="1498" spans="1:12" x14ac:dyDescent="0.3">
      <c r="A1498" s="1">
        <v>46191</v>
      </c>
      <c r="B1498" t="s">
        <v>9</v>
      </c>
      <c r="C1498" t="s">
        <v>13</v>
      </c>
      <c r="D1498" t="s">
        <v>16</v>
      </c>
      <c r="E1498">
        <v>816</v>
      </c>
      <c r="F1498">
        <v>20</v>
      </c>
      <c r="G1498">
        <v>68</v>
      </c>
      <c r="H1498">
        <v>796</v>
      </c>
      <c r="I1498">
        <v>2.4509803921568629</v>
      </c>
      <c r="J1498">
        <v>97.549019607843135</v>
      </c>
      <c r="K1498" t="str">
        <f>_xlfn.XLOOKUP(tblProduction[[#This Row],[Product]],tblProducts[Product],tblProducts[Category],"Not Found")</f>
        <v>Standard</v>
      </c>
      <c r="L1498">
        <f>_xlfn.XLOOKUP(tblProduction[[#This Row],[Product]],tblProducts[Product],tblProducts[Target_Units],"Not Found")</f>
        <v>1000</v>
      </c>
    </row>
    <row r="1499" spans="1:12" x14ac:dyDescent="0.3">
      <c r="A1499" s="1">
        <v>46191</v>
      </c>
      <c r="B1499" t="s">
        <v>15</v>
      </c>
      <c r="C1499" t="s">
        <v>10</v>
      </c>
      <c r="D1499" t="s">
        <v>11</v>
      </c>
      <c r="E1499">
        <v>772</v>
      </c>
      <c r="F1499">
        <v>19</v>
      </c>
      <c r="G1499">
        <v>87</v>
      </c>
      <c r="H1499">
        <v>753</v>
      </c>
      <c r="I1499">
        <v>2.4611398963730569</v>
      </c>
      <c r="J1499">
        <v>97.538860103626945</v>
      </c>
      <c r="K1499" t="str">
        <f>_xlfn.XLOOKUP(tblProduction[[#This Row],[Product]],tblProducts[Product],tblProducts[Category],"Not Found")</f>
        <v>Precision</v>
      </c>
      <c r="L1499">
        <f>_xlfn.XLOOKUP(tblProduction[[#This Row],[Product]],tblProducts[Product],tblProducts[Target_Units],"Not Found")</f>
        <v>950</v>
      </c>
    </row>
    <row r="1500" spans="1:12" x14ac:dyDescent="0.3">
      <c r="A1500" s="1">
        <v>46191</v>
      </c>
      <c r="B1500" t="s">
        <v>15</v>
      </c>
      <c r="C1500" t="s">
        <v>12</v>
      </c>
      <c r="D1500" t="s">
        <v>16</v>
      </c>
      <c r="E1500">
        <v>881</v>
      </c>
      <c r="F1500">
        <v>22</v>
      </c>
      <c r="G1500">
        <v>62</v>
      </c>
      <c r="H1500">
        <v>859</v>
      </c>
      <c r="I1500">
        <v>2.49716231555051</v>
      </c>
      <c r="J1500">
        <v>97.502837684449489</v>
      </c>
      <c r="K1500" t="str">
        <f>_xlfn.XLOOKUP(tblProduction[[#This Row],[Product]],tblProducts[Product],tblProducts[Category],"Not Found")</f>
        <v>Standard</v>
      </c>
      <c r="L1500">
        <f>_xlfn.XLOOKUP(tblProduction[[#This Row],[Product]],tblProducts[Product],tblProducts[Target_Units],"Not Found")</f>
        <v>1000</v>
      </c>
    </row>
    <row r="1501" spans="1:12" x14ac:dyDescent="0.3">
      <c r="A1501" s="1">
        <v>46191</v>
      </c>
      <c r="B1501" t="s">
        <v>15</v>
      </c>
      <c r="C1501" t="s">
        <v>13</v>
      </c>
      <c r="D1501" t="s">
        <v>16</v>
      </c>
      <c r="E1501">
        <v>814</v>
      </c>
      <c r="F1501">
        <v>28</v>
      </c>
      <c r="G1501">
        <v>64</v>
      </c>
      <c r="H1501">
        <v>786</v>
      </c>
      <c r="I1501">
        <v>3.4398034398034398</v>
      </c>
      <c r="J1501">
        <v>96.560196560196559</v>
      </c>
      <c r="K1501" t="str">
        <f>_xlfn.XLOOKUP(tblProduction[[#This Row],[Product]],tblProducts[Product],tblProducts[Category],"Not Found")</f>
        <v>Standard</v>
      </c>
      <c r="L1501">
        <f>_xlfn.XLOOKUP(tblProduction[[#This Row],[Product]],tblProducts[Product],tblProducts[Target_Units],"Not Found")</f>
        <v>1000</v>
      </c>
    </row>
    <row r="1502" spans="1:12" x14ac:dyDescent="0.3">
      <c r="A1502" s="1">
        <v>46191</v>
      </c>
      <c r="B1502" t="s">
        <v>17</v>
      </c>
      <c r="C1502" t="s">
        <v>10</v>
      </c>
      <c r="D1502" t="s">
        <v>11</v>
      </c>
      <c r="E1502">
        <v>764</v>
      </c>
      <c r="F1502">
        <v>26</v>
      </c>
      <c r="G1502">
        <v>62</v>
      </c>
      <c r="H1502">
        <v>738</v>
      </c>
      <c r="I1502">
        <v>3.403141361256544</v>
      </c>
      <c r="J1502">
        <v>96.596858638743456</v>
      </c>
      <c r="K1502" t="str">
        <f>_xlfn.XLOOKUP(tblProduction[[#This Row],[Product]],tblProducts[Product],tblProducts[Category],"Not Found")</f>
        <v>Precision</v>
      </c>
      <c r="L1502">
        <f>_xlfn.XLOOKUP(tblProduction[[#This Row],[Product]],tblProducts[Product],tblProducts[Target_Units],"Not Found")</f>
        <v>950</v>
      </c>
    </row>
    <row r="1503" spans="1:12" x14ac:dyDescent="0.3">
      <c r="A1503" s="1">
        <v>46191</v>
      </c>
      <c r="B1503" t="s">
        <v>17</v>
      </c>
      <c r="C1503" t="s">
        <v>12</v>
      </c>
      <c r="D1503" t="s">
        <v>16</v>
      </c>
      <c r="E1503">
        <v>804</v>
      </c>
      <c r="F1503">
        <v>28</v>
      </c>
      <c r="G1503">
        <v>11</v>
      </c>
      <c r="H1503">
        <v>776</v>
      </c>
      <c r="I1503">
        <v>3.4825870646766171</v>
      </c>
      <c r="J1503">
        <v>96.517412935323392</v>
      </c>
      <c r="K1503" t="str">
        <f>_xlfn.XLOOKUP(tblProduction[[#This Row],[Product]],tblProducts[Product],tblProducts[Category],"Not Found")</f>
        <v>Standard</v>
      </c>
      <c r="L1503">
        <f>_xlfn.XLOOKUP(tblProduction[[#This Row],[Product]],tblProducts[Product],tblProducts[Target_Units],"Not Found")</f>
        <v>1000</v>
      </c>
    </row>
    <row r="1504" spans="1:12" x14ac:dyDescent="0.3">
      <c r="A1504" s="1">
        <v>46191</v>
      </c>
      <c r="B1504" t="s">
        <v>17</v>
      </c>
      <c r="C1504" t="s">
        <v>13</v>
      </c>
      <c r="D1504" t="s">
        <v>14</v>
      </c>
      <c r="E1504">
        <v>571</v>
      </c>
      <c r="F1504">
        <v>30</v>
      </c>
      <c r="G1504">
        <v>69</v>
      </c>
      <c r="H1504">
        <v>541</v>
      </c>
      <c r="I1504">
        <v>5.2539404553415059</v>
      </c>
      <c r="J1504">
        <v>94.746059544658493</v>
      </c>
      <c r="K1504" t="str">
        <f>_xlfn.XLOOKUP(tblProduction[[#This Row],[Product]],tblProducts[Product],tblProducts[Category],"Not Found")</f>
        <v>Assembly</v>
      </c>
      <c r="L1504">
        <f>_xlfn.XLOOKUP(tblProduction[[#This Row],[Product]],tblProducts[Product],tblProducts[Target_Units],"Not Found")</f>
        <v>850</v>
      </c>
    </row>
    <row r="1505" spans="1:12" x14ac:dyDescent="0.3">
      <c r="A1505" s="1">
        <v>46192</v>
      </c>
      <c r="B1505" t="s">
        <v>9</v>
      </c>
      <c r="C1505" t="s">
        <v>10</v>
      </c>
      <c r="D1505" t="s">
        <v>11</v>
      </c>
      <c r="E1505">
        <v>966</v>
      </c>
      <c r="F1505">
        <v>14</v>
      </c>
      <c r="G1505">
        <v>35</v>
      </c>
      <c r="H1505">
        <v>952</v>
      </c>
      <c r="I1505">
        <v>1.449275362318841</v>
      </c>
      <c r="J1505">
        <v>98.550724637681171</v>
      </c>
      <c r="K1505" t="str">
        <f>_xlfn.XLOOKUP(tblProduction[[#This Row],[Product]],tblProducts[Product],tblProducts[Category],"Not Found")</f>
        <v>Precision</v>
      </c>
      <c r="L1505">
        <f>_xlfn.XLOOKUP(tblProduction[[#This Row],[Product]],tblProducts[Product],tblProducts[Target_Units],"Not Found")</f>
        <v>950</v>
      </c>
    </row>
    <row r="1506" spans="1:12" x14ac:dyDescent="0.3">
      <c r="A1506" s="1">
        <v>46192</v>
      </c>
      <c r="B1506" t="s">
        <v>9</v>
      </c>
      <c r="C1506" t="s">
        <v>12</v>
      </c>
      <c r="D1506" t="s">
        <v>18</v>
      </c>
      <c r="E1506">
        <v>854</v>
      </c>
      <c r="F1506">
        <v>12</v>
      </c>
      <c r="G1506">
        <v>64</v>
      </c>
      <c r="H1506">
        <v>842</v>
      </c>
      <c r="I1506">
        <v>1.405152224824356</v>
      </c>
      <c r="J1506">
        <v>98.594847775175637</v>
      </c>
      <c r="K1506" t="str">
        <f>_xlfn.XLOOKUP(tblProduction[[#This Row],[Product]],tblProducts[Product],tblProducts[Category],"Not Found")</f>
        <v>Assembly</v>
      </c>
      <c r="L1506">
        <f>_xlfn.XLOOKUP(tblProduction[[#This Row],[Product]],tblProducts[Product],tblProducts[Target_Units],"Not Found")</f>
        <v>900</v>
      </c>
    </row>
    <row r="1507" spans="1:12" x14ac:dyDescent="0.3">
      <c r="A1507" s="1">
        <v>46192</v>
      </c>
      <c r="B1507" t="s">
        <v>9</v>
      </c>
      <c r="C1507" t="s">
        <v>13</v>
      </c>
      <c r="D1507" t="s">
        <v>14</v>
      </c>
      <c r="E1507">
        <v>824</v>
      </c>
      <c r="F1507">
        <v>27</v>
      </c>
      <c r="G1507">
        <v>6</v>
      </c>
      <c r="H1507">
        <v>797</v>
      </c>
      <c r="I1507">
        <v>3.2766990291262141</v>
      </c>
      <c r="J1507">
        <v>96.72330097087378</v>
      </c>
      <c r="K1507" t="str">
        <f>_xlfn.XLOOKUP(tblProduction[[#This Row],[Product]],tblProducts[Product],tblProducts[Category],"Not Found")</f>
        <v>Assembly</v>
      </c>
      <c r="L1507">
        <f>_xlfn.XLOOKUP(tblProduction[[#This Row],[Product]],tblProducts[Product],tblProducts[Target_Units],"Not Found")</f>
        <v>850</v>
      </c>
    </row>
    <row r="1508" spans="1:12" x14ac:dyDescent="0.3">
      <c r="A1508" s="1">
        <v>46192</v>
      </c>
      <c r="B1508" t="s">
        <v>15</v>
      </c>
      <c r="C1508" t="s">
        <v>10</v>
      </c>
      <c r="D1508" t="s">
        <v>18</v>
      </c>
      <c r="E1508">
        <v>735</v>
      </c>
      <c r="F1508">
        <v>18</v>
      </c>
      <c r="G1508">
        <v>88</v>
      </c>
      <c r="H1508">
        <v>717</v>
      </c>
      <c r="I1508">
        <v>2.4489795918367352</v>
      </c>
      <c r="J1508">
        <v>97.551020408163268</v>
      </c>
      <c r="K1508" t="str">
        <f>_xlfn.XLOOKUP(tblProduction[[#This Row],[Product]],tblProducts[Product],tblProducts[Category],"Not Found")</f>
        <v>Assembly</v>
      </c>
      <c r="L1508">
        <f>_xlfn.XLOOKUP(tblProduction[[#This Row],[Product]],tblProducts[Product],tblProducts[Target_Units],"Not Found")</f>
        <v>900</v>
      </c>
    </row>
    <row r="1509" spans="1:12" x14ac:dyDescent="0.3">
      <c r="A1509" s="1">
        <v>46192</v>
      </c>
      <c r="B1509" t="s">
        <v>15</v>
      </c>
      <c r="C1509" t="s">
        <v>12</v>
      </c>
      <c r="D1509" t="s">
        <v>18</v>
      </c>
      <c r="E1509">
        <v>818</v>
      </c>
      <c r="F1509">
        <v>20</v>
      </c>
      <c r="G1509">
        <v>25</v>
      </c>
      <c r="H1509">
        <v>798</v>
      </c>
      <c r="I1509">
        <v>2.4449877750611249</v>
      </c>
      <c r="J1509">
        <v>97.555012224938878</v>
      </c>
      <c r="K1509" t="str">
        <f>_xlfn.XLOOKUP(tblProduction[[#This Row],[Product]],tblProducts[Product],tblProducts[Category],"Not Found")</f>
        <v>Assembly</v>
      </c>
      <c r="L1509">
        <f>_xlfn.XLOOKUP(tblProduction[[#This Row],[Product]],tblProducts[Product],tblProducts[Target_Units],"Not Found")</f>
        <v>900</v>
      </c>
    </row>
    <row r="1510" spans="1:12" x14ac:dyDescent="0.3">
      <c r="A1510" s="1">
        <v>46192</v>
      </c>
      <c r="B1510" t="s">
        <v>15</v>
      </c>
      <c r="C1510" t="s">
        <v>13</v>
      </c>
      <c r="D1510" t="s">
        <v>16</v>
      </c>
      <c r="E1510">
        <v>875</v>
      </c>
      <c r="F1510">
        <v>30</v>
      </c>
      <c r="G1510">
        <v>2</v>
      </c>
      <c r="H1510">
        <v>845</v>
      </c>
      <c r="I1510">
        <v>3.4285714285714288</v>
      </c>
      <c r="J1510">
        <v>96.571428571428569</v>
      </c>
      <c r="K1510" t="str">
        <f>_xlfn.XLOOKUP(tblProduction[[#This Row],[Product]],tblProducts[Product],tblProducts[Category],"Not Found")</f>
        <v>Standard</v>
      </c>
      <c r="L1510">
        <f>_xlfn.XLOOKUP(tblProduction[[#This Row],[Product]],tblProducts[Product],tblProducts[Target_Units],"Not Found")</f>
        <v>1000</v>
      </c>
    </row>
    <row r="1511" spans="1:12" x14ac:dyDescent="0.3">
      <c r="A1511" s="1">
        <v>46192</v>
      </c>
      <c r="B1511" t="s">
        <v>17</v>
      </c>
      <c r="C1511" t="s">
        <v>10</v>
      </c>
      <c r="D1511" t="s">
        <v>11</v>
      </c>
      <c r="E1511">
        <v>793</v>
      </c>
      <c r="F1511">
        <v>27</v>
      </c>
      <c r="G1511">
        <v>58</v>
      </c>
      <c r="H1511">
        <v>766</v>
      </c>
      <c r="I1511">
        <v>3.404791929382093</v>
      </c>
      <c r="J1511">
        <v>96.595208070617915</v>
      </c>
      <c r="K1511" t="str">
        <f>_xlfn.XLOOKUP(tblProduction[[#This Row],[Product]],tblProducts[Product],tblProducts[Category],"Not Found")</f>
        <v>Precision</v>
      </c>
      <c r="L1511">
        <f>_xlfn.XLOOKUP(tblProduction[[#This Row],[Product]],tblProducts[Product],tblProducts[Target_Units],"Not Found")</f>
        <v>950</v>
      </c>
    </row>
    <row r="1512" spans="1:12" x14ac:dyDescent="0.3">
      <c r="A1512" s="1">
        <v>46192</v>
      </c>
      <c r="B1512" t="s">
        <v>17</v>
      </c>
      <c r="C1512" t="s">
        <v>12</v>
      </c>
      <c r="D1512" t="s">
        <v>11</v>
      </c>
      <c r="E1512">
        <v>797</v>
      </c>
      <c r="F1512">
        <v>27</v>
      </c>
      <c r="G1512">
        <v>13</v>
      </c>
      <c r="H1512">
        <v>770</v>
      </c>
      <c r="I1512">
        <v>3.3877038895859481</v>
      </c>
      <c r="J1512">
        <v>96.61229611041405</v>
      </c>
      <c r="K1512" t="str">
        <f>_xlfn.XLOOKUP(tblProduction[[#This Row],[Product]],tblProducts[Product],tblProducts[Category],"Not Found")</f>
        <v>Precision</v>
      </c>
      <c r="L1512">
        <f>_xlfn.XLOOKUP(tblProduction[[#This Row],[Product]],tblProducts[Product],tblProducts[Target_Units],"Not Found")</f>
        <v>950</v>
      </c>
    </row>
    <row r="1513" spans="1:12" x14ac:dyDescent="0.3">
      <c r="A1513" s="1">
        <v>46192</v>
      </c>
      <c r="B1513" t="s">
        <v>17</v>
      </c>
      <c r="C1513" t="s">
        <v>13</v>
      </c>
      <c r="D1513" t="s">
        <v>11</v>
      </c>
      <c r="E1513">
        <v>625</v>
      </c>
      <c r="F1513">
        <v>28</v>
      </c>
      <c r="G1513">
        <v>78</v>
      </c>
      <c r="H1513">
        <v>597</v>
      </c>
      <c r="I1513">
        <v>4.4800000000000004</v>
      </c>
      <c r="J1513">
        <v>95.52000000000001</v>
      </c>
      <c r="K1513" t="str">
        <f>_xlfn.XLOOKUP(tblProduction[[#This Row],[Product]],tblProducts[Product],tblProducts[Category],"Not Found")</f>
        <v>Precision</v>
      </c>
      <c r="L1513">
        <f>_xlfn.XLOOKUP(tblProduction[[#This Row],[Product]],tblProducts[Product],tblProducts[Target_Units],"Not Found")</f>
        <v>950</v>
      </c>
    </row>
    <row r="1514" spans="1:12" x14ac:dyDescent="0.3">
      <c r="A1514" s="1">
        <v>46193</v>
      </c>
      <c r="B1514" t="s">
        <v>9</v>
      </c>
      <c r="C1514" t="s">
        <v>10</v>
      </c>
      <c r="D1514" t="s">
        <v>11</v>
      </c>
      <c r="E1514">
        <v>974</v>
      </c>
      <c r="F1514">
        <v>14</v>
      </c>
      <c r="G1514">
        <v>53</v>
      </c>
      <c r="H1514">
        <v>960</v>
      </c>
      <c r="I1514">
        <v>1.4373716632443529</v>
      </c>
      <c r="J1514">
        <v>98.562628336755637</v>
      </c>
      <c r="K1514" t="str">
        <f>_xlfn.XLOOKUP(tblProduction[[#This Row],[Product]],tblProducts[Product],tblProducts[Category],"Not Found")</f>
        <v>Precision</v>
      </c>
      <c r="L1514">
        <f>_xlfn.XLOOKUP(tblProduction[[#This Row],[Product]],tblProducts[Product],tblProducts[Target_Units],"Not Found")</f>
        <v>950</v>
      </c>
    </row>
    <row r="1515" spans="1:12" x14ac:dyDescent="0.3">
      <c r="A1515" s="1">
        <v>46193</v>
      </c>
      <c r="B1515" t="s">
        <v>9</v>
      </c>
      <c r="C1515" t="s">
        <v>12</v>
      </c>
      <c r="D1515" t="s">
        <v>11</v>
      </c>
      <c r="E1515">
        <v>945</v>
      </c>
      <c r="F1515">
        <v>14</v>
      </c>
      <c r="G1515">
        <v>16</v>
      </c>
      <c r="H1515">
        <v>931</v>
      </c>
      <c r="I1515">
        <v>1.4814814814814821</v>
      </c>
      <c r="J1515">
        <v>98.518518518518519</v>
      </c>
      <c r="K1515" t="str">
        <f>_xlfn.XLOOKUP(tblProduction[[#This Row],[Product]],tblProducts[Product],tblProducts[Category],"Not Found")</f>
        <v>Precision</v>
      </c>
      <c r="L1515">
        <f>_xlfn.XLOOKUP(tblProduction[[#This Row],[Product]],tblProducts[Product],tblProducts[Target_Units],"Not Found")</f>
        <v>950</v>
      </c>
    </row>
    <row r="1516" spans="1:12" x14ac:dyDescent="0.3">
      <c r="A1516" s="1">
        <v>46193</v>
      </c>
      <c r="B1516" t="s">
        <v>9</v>
      </c>
      <c r="C1516" t="s">
        <v>13</v>
      </c>
      <c r="D1516" t="s">
        <v>11</v>
      </c>
      <c r="E1516">
        <v>839</v>
      </c>
      <c r="F1516">
        <v>20</v>
      </c>
      <c r="G1516">
        <v>69</v>
      </c>
      <c r="H1516">
        <v>819</v>
      </c>
      <c r="I1516">
        <v>2.383790226460071</v>
      </c>
      <c r="J1516">
        <v>97.616209773539936</v>
      </c>
      <c r="K1516" t="str">
        <f>_xlfn.XLOOKUP(tblProduction[[#This Row],[Product]],tblProducts[Product],tblProducts[Category],"Not Found")</f>
        <v>Precision</v>
      </c>
      <c r="L1516">
        <f>_xlfn.XLOOKUP(tblProduction[[#This Row],[Product]],tblProducts[Product],tblProducts[Target_Units],"Not Found")</f>
        <v>950</v>
      </c>
    </row>
    <row r="1517" spans="1:12" x14ac:dyDescent="0.3">
      <c r="A1517" s="1">
        <v>46193</v>
      </c>
      <c r="B1517" t="s">
        <v>15</v>
      </c>
      <c r="C1517" t="s">
        <v>10</v>
      </c>
      <c r="D1517" t="s">
        <v>11</v>
      </c>
      <c r="E1517">
        <v>914</v>
      </c>
      <c r="F1517">
        <v>22</v>
      </c>
      <c r="G1517">
        <v>43</v>
      </c>
      <c r="H1517">
        <v>892</v>
      </c>
      <c r="I1517">
        <v>2.407002188183808</v>
      </c>
      <c r="J1517">
        <v>97.59299781181619</v>
      </c>
      <c r="K1517" t="str">
        <f>_xlfn.XLOOKUP(tblProduction[[#This Row],[Product]],tblProducts[Product],tblProducts[Category],"Not Found")</f>
        <v>Precision</v>
      </c>
      <c r="L1517">
        <f>_xlfn.XLOOKUP(tblProduction[[#This Row],[Product]],tblProducts[Product],tblProducts[Target_Units],"Not Found")</f>
        <v>950</v>
      </c>
    </row>
    <row r="1518" spans="1:12" x14ac:dyDescent="0.3">
      <c r="A1518" s="1">
        <v>46193</v>
      </c>
      <c r="B1518" t="s">
        <v>15</v>
      </c>
      <c r="C1518" t="s">
        <v>12</v>
      </c>
      <c r="D1518" t="s">
        <v>14</v>
      </c>
      <c r="E1518">
        <v>744</v>
      </c>
      <c r="F1518">
        <v>24</v>
      </c>
      <c r="G1518">
        <v>30</v>
      </c>
      <c r="H1518">
        <v>720</v>
      </c>
      <c r="I1518">
        <v>3.225806451612903</v>
      </c>
      <c r="J1518">
        <v>96.774193548387103</v>
      </c>
      <c r="K1518" t="str">
        <f>_xlfn.XLOOKUP(tblProduction[[#This Row],[Product]],tblProducts[Product],tblProducts[Category],"Not Found")</f>
        <v>Assembly</v>
      </c>
      <c r="L1518">
        <f>_xlfn.XLOOKUP(tblProduction[[#This Row],[Product]],tblProducts[Product],tblProducts[Target_Units],"Not Found")</f>
        <v>850</v>
      </c>
    </row>
    <row r="1519" spans="1:12" x14ac:dyDescent="0.3">
      <c r="A1519" s="1">
        <v>46193</v>
      </c>
      <c r="B1519" t="s">
        <v>15</v>
      </c>
      <c r="C1519" t="s">
        <v>13</v>
      </c>
      <c r="D1519" t="s">
        <v>16</v>
      </c>
      <c r="E1519">
        <v>792</v>
      </c>
      <c r="F1519">
        <v>27</v>
      </c>
      <c r="G1519">
        <v>52</v>
      </c>
      <c r="H1519">
        <v>765</v>
      </c>
      <c r="I1519">
        <v>3.4090909090909092</v>
      </c>
      <c r="J1519">
        <v>96.590909090909093</v>
      </c>
      <c r="K1519" t="str">
        <f>_xlfn.XLOOKUP(tblProduction[[#This Row],[Product]],tblProducts[Product],tblProducts[Category],"Not Found")</f>
        <v>Standard</v>
      </c>
      <c r="L1519">
        <f>_xlfn.XLOOKUP(tblProduction[[#This Row],[Product]],tblProducts[Product],tblProducts[Target_Units],"Not Found")</f>
        <v>1000</v>
      </c>
    </row>
    <row r="1520" spans="1:12" x14ac:dyDescent="0.3">
      <c r="A1520" s="1">
        <v>46193</v>
      </c>
      <c r="B1520" t="s">
        <v>17</v>
      </c>
      <c r="C1520" t="s">
        <v>10</v>
      </c>
      <c r="D1520" t="s">
        <v>14</v>
      </c>
      <c r="E1520">
        <v>734</v>
      </c>
      <c r="F1520">
        <v>31</v>
      </c>
      <c r="G1520">
        <v>35</v>
      </c>
      <c r="H1520">
        <v>703</v>
      </c>
      <c r="I1520">
        <v>4.223433242506812</v>
      </c>
      <c r="J1520">
        <v>95.776566757493185</v>
      </c>
      <c r="K1520" t="str">
        <f>_xlfn.XLOOKUP(tblProduction[[#This Row],[Product]],tblProducts[Product],tblProducts[Category],"Not Found")</f>
        <v>Assembly</v>
      </c>
      <c r="L1520">
        <f>_xlfn.XLOOKUP(tblProduction[[#This Row],[Product]],tblProducts[Product],tblProducts[Target_Units],"Not Found")</f>
        <v>850</v>
      </c>
    </row>
    <row r="1521" spans="1:12" x14ac:dyDescent="0.3">
      <c r="A1521" s="1">
        <v>46193</v>
      </c>
      <c r="B1521" t="s">
        <v>17</v>
      </c>
      <c r="C1521" t="s">
        <v>12</v>
      </c>
      <c r="D1521" t="s">
        <v>18</v>
      </c>
      <c r="E1521">
        <v>753</v>
      </c>
      <c r="F1521">
        <v>26</v>
      </c>
      <c r="G1521">
        <v>12</v>
      </c>
      <c r="H1521">
        <v>727</v>
      </c>
      <c r="I1521">
        <v>3.452855245683931</v>
      </c>
      <c r="J1521">
        <v>96.547144754316065</v>
      </c>
      <c r="K1521" t="str">
        <f>_xlfn.XLOOKUP(tblProduction[[#This Row],[Product]],tblProducts[Product],tblProducts[Category],"Not Found")</f>
        <v>Assembly</v>
      </c>
      <c r="L1521">
        <f>_xlfn.XLOOKUP(tblProduction[[#This Row],[Product]],tblProducts[Product],tblProducts[Target_Units],"Not Found")</f>
        <v>900</v>
      </c>
    </row>
    <row r="1522" spans="1:12" x14ac:dyDescent="0.3">
      <c r="A1522" s="1">
        <v>46193</v>
      </c>
      <c r="B1522" t="s">
        <v>17</v>
      </c>
      <c r="C1522" t="s">
        <v>13</v>
      </c>
      <c r="D1522" t="s">
        <v>16</v>
      </c>
      <c r="E1522">
        <v>730</v>
      </c>
      <c r="F1522">
        <v>32</v>
      </c>
      <c r="G1522">
        <v>34</v>
      </c>
      <c r="H1522">
        <v>698</v>
      </c>
      <c r="I1522">
        <v>4.3835616438356162</v>
      </c>
      <c r="J1522">
        <v>95.61643835616438</v>
      </c>
      <c r="K1522" t="str">
        <f>_xlfn.XLOOKUP(tblProduction[[#This Row],[Product]],tblProducts[Product],tblProducts[Category],"Not Found")</f>
        <v>Standard</v>
      </c>
      <c r="L1522">
        <f>_xlfn.XLOOKUP(tblProduction[[#This Row],[Product]],tblProducts[Product],tblProducts[Target_Units],"Not Found")</f>
        <v>1000</v>
      </c>
    </row>
    <row r="1523" spans="1:12" x14ac:dyDescent="0.3">
      <c r="A1523" s="1">
        <v>46194</v>
      </c>
      <c r="B1523" t="s">
        <v>9</v>
      </c>
      <c r="C1523" t="s">
        <v>10</v>
      </c>
      <c r="D1523" t="s">
        <v>11</v>
      </c>
      <c r="E1523">
        <v>986</v>
      </c>
      <c r="F1523">
        <v>14</v>
      </c>
      <c r="G1523">
        <v>14</v>
      </c>
      <c r="H1523">
        <v>972</v>
      </c>
      <c r="I1523">
        <v>1.419878296146045</v>
      </c>
      <c r="J1523">
        <v>98.580121703853948</v>
      </c>
      <c r="K1523" t="str">
        <f>_xlfn.XLOOKUP(tblProduction[[#This Row],[Product]],tblProducts[Product],tblProducts[Category],"Not Found")</f>
        <v>Precision</v>
      </c>
      <c r="L1523">
        <f>_xlfn.XLOOKUP(tblProduction[[#This Row],[Product]],tblProducts[Product],tblProducts[Target_Units],"Not Found")</f>
        <v>950</v>
      </c>
    </row>
    <row r="1524" spans="1:12" x14ac:dyDescent="0.3">
      <c r="A1524" s="1">
        <v>46194</v>
      </c>
      <c r="B1524" t="s">
        <v>9</v>
      </c>
      <c r="C1524" t="s">
        <v>12</v>
      </c>
      <c r="D1524" t="s">
        <v>18</v>
      </c>
      <c r="E1524">
        <v>901</v>
      </c>
      <c r="F1524">
        <v>13</v>
      </c>
      <c r="G1524">
        <v>19</v>
      </c>
      <c r="H1524">
        <v>888</v>
      </c>
      <c r="I1524">
        <v>1.44284128745838</v>
      </c>
      <c r="J1524">
        <v>98.557158712541622</v>
      </c>
      <c r="K1524" t="str">
        <f>_xlfn.XLOOKUP(tblProduction[[#This Row],[Product]],tblProducts[Product],tblProducts[Category],"Not Found")</f>
        <v>Assembly</v>
      </c>
      <c r="L1524">
        <f>_xlfn.XLOOKUP(tblProduction[[#This Row],[Product]],tblProducts[Product],tblProducts[Target_Units],"Not Found")</f>
        <v>900</v>
      </c>
    </row>
    <row r="1525" spans="1:12" x14ac:dyDescent="0.3">
      <c r="A1525" s="1">
        <v>46194</v>
      </c>
      <c r="B1525" t="s">
        <v>15</v>
      </c>
      <c r="C1525" t="s">
        <v>10</v>
      </c>
      <c r="D1525" t="s">
        <v>14</v>
      </c>
      <c r="E1525">
        <v>804</v>
      </c>
      <c r="F1525">
        <v>26</v>
      </c>
      <c r="G1525">
        <v>41</v>
      </c>
      <c r="H1525">
        <v>778</v>
      </c>
      <c r="I1525">
        <v>3.233830845771144</v>
      </c>
      <c r="J1525">
        <v>96.766169154228848</v>
      </c>
      <c r="K1525" t="str">
        <f>_xlfn.XLOOKUP(tblProduction[[#This Row],[Product]],tblProducts[Product],tblProducts[Category],"Not Found")</f>
        <v>Assembly</v>
      </c>
      <c r="L1525">
        <f>_xlfn.XLOOKUP(tblProduction[[#This Row],[Product]],tblProducts[Product],tblProducts[Target_Units],"Not Found")</f>
        <v>850</v>
      </c>
    </row>
    <row r="1526" spans="1:12" x14ac:dyDescent="0.3">
      <c r="A1526" s="1">
        <v>46194</v>
      </c>
      <c r="B1526" t="s">
        <v>15</v>
      </c>
      <c r="C1526" t="s">
        <v>12</v>
      </c>
      <c r="D1526" t="s">
        <v>11</v>
      </c>
      <c r="E1526">
        <v>817</v>
      </c>
      <c r="F1526">
        <v>20</v>
      </c>
      <c r="G1526">
        <v>47</v>
      </c>
      <c r="H1526">
        <v>797</v>
      </c>
      <c r="I1526">
        <v>2.4479804161566712</v>
      </c>
      <c r="J1526">
        <v>97.552019583843332</v>
      </c>
      <c r="K1526" t="str">
        <f>_xlfn.XLOOKUP(tblProduction[[#This Row],[Product]],tblProducts[Product],tblProducts[Category],"Not Found")</f>
        <v>Precision</v>
      </c>
      <c r="L1526">
        <f>_xlfn.XLOOKUP(tblProduction[[#This Row],[Product]],tblProducts[Product],tblProducts[Target_Units],"Not Found")</f>
        <v>950</v>
      </c>
    </row>
    <row r="1527" spans="1:12" x14ac:dyDescent="0.3">
      <c r="A1527" s="1">
        <v>46194</v>
      </c>
      <c r="B1527" t="s">
        <v>15</v>
      </c>
      <c r="C1527" t="s">
        <v>13</v>
      </c>
      <c r="D1527" t="s">
        <v>16</v>
      </c>
      <c r="E1527">
        <v>838</v>
      </c>
      <c r="F1527">
        <v>29</v>
      </c>
      <c r="G1527">
        <v>14</v>
      </c>
      <c r="H1527">
        <v>809</v>
      </c>
      <c r="I1527">
        <v>3.460620525059666</v>
      </c>
      <c r="J1527">
        <v>96.539379474940333</v>
      </c>
      <c r="K1527" t="str">
        <f>_xlfn.XLOOKUP(tblProduction[[#This Row],[Product]],tblProducts[Product],tblProducts[Category],"Not Found")</f>
        <v>Standard</v>
      </c>
      <c r="L1527">
        <f>_xlfn.XLOOKUP(tblProduction[[#This Row],[Product]],tblProducts[Product],tblProducts[Target_Units],"Not Found")</f>
        <v>1000</v>
      </c>
    </row>
    <row r="1528" spans="1:12" x14ac:dyDescent="0.3">
      <c r="A1528" s="1">
        <v>46194</v>
      </c>
      <c r="B1528" t="s">
        <v>17</v>
      </c>
      <c r="C1528" t="s">
        <v>10</v>
      </c>
      <c r="D1528" t="s">
        <v>16</v>
      </c>
      <c r="E1528">
        <v>861</v>
      </c>
      <c r="F1528">
        <v>30</v>
      </c>
      <c r="G1528">
        <v>39</v>
      </c>
      <c r="H1528">
        <v>831</v>
      </c>
      <c r="I1528">
        <v>3.484320557491289</v>
      </c>
      <c r="J1528">
        <v>96.515679442508713</v>
      </c>
      <c r="K1528" t="str">
        <f>_xlfn.XLOOKUP(tblProduction[[#This Row],[Product]],tblProducts[Product],tblProducts[Category],"Not Found")</f>
        <v>Standard</v>
      </c>
      <c r="L1528">
        <f>_xlfn.XLOOKUP(tblProduction[[#This Row],[Product]],tblProducts[Product],tblProducts[Target_Units],"Not Found")</f>
        <v>1000</v>
      </c>
    </row>
    <row r="1529" spans="1:12" x14ac:dyDescent="0.3">
      <c r="A1529" s="1">
        <v>46194</v>
      </c>
      <c r="B1529" t="s">
        <v>17</v>
      </c>
      <c r="C1529" t="s">
        <v>12</v>
      </c>
      <c r="D1529" t="s">
        <v>11</v>
      </c>
      <c r="E1529">
        <v>828</v>
      </c>
      <c r="F1529">
        <v>28</v>
      </c>
      <c r="G1529">
        <v>6</v>
      </c>
      <c r="H1529">
        <v>800</v>
      </c>
      <c r="I1529">
        <v>3.381642512077295</v>
      </c>
      <c r="J1529">
        <v>96.618357487922708</v>
      </c>
      <c r="K1529" t="str">
        <f>_xlfn.XLOOKUP(tblProduction[[#This Row],[Product]],tblProducts[Product],tblProducts[Category],"Not Found")</f>
        <v>Precision</v>
      </c>
      <c r="L1529">
        <f>_xlfn.XLOOKUP(tblProduction[[#This Row],[Product]],tblProducts[Product],tblProducts[Target_Units],"Not Found")</f>
        <v>950</v>
      </c>
    </row>
    <row r="1530" spans="1:12" x14ac:dyDescent="0.3">
      <c r="A1530" s="1">
        <v>46194</v>
      </c>
      <c r="B1530" t="s">
        <v>17</v>
      </c>
      <c r="C1530" t="s">
        <v>13</v>
      </c>
      <c r="D1530" t="s">
        <v>16</v>
      </c>
      <c r="E1530">
        <v>731</v>
      </c>
      <c r="F1530">
        <v>32</v>
      </c>
      <c r="G1530">
        <v>56</v>
      </c>
      <c r="H1530">
        <v>699</v>
      </c>
      <c r="I1530">
        <v>4.3775649794801641</v>
      </c>
      <c r="J1530">
        <v>95.622435020519831</v>
      </c>
      <c r="K1530" t="str">
        <f>_xlfn.XLOOKUP(tblProduction[[#This Row],[Product]],tblProducts[Product],tblProducts[Category],"Not Found")</f>
        <v>Standard</v>
      </c>
      <c r="L1530">
        <f>_xlfn.XLOOKUP(tblProduction[[#This Row],[Product]],tblProducts[Product],tblProducts[Target_Units],"Not Found")</f>
        <v>1000</v>
      </c>
    </row>
    <row r="1531" spans="1:12" x14ac:dyDescent="0.3">
      <c r="A1531" s="1">
        <v>46195</v>
      </c>
      <c r="B1531" t="s">
        <v>9</v>
      </c>
      <c r="C1531" t="s">
        <v>10</v>
      </c>
      <c r="D1531" t="s">
        <v>16</v>
      </c>
      <c r="E1531">
        <v>966</v>
      </c>
      <c r="F1531">
        <v>14</v>
      </c>
      <c r="G1531">
        <v>49</v>
      </c>
      <c r="H1531">
        <v>952</v>
      </c>
      <c r="I1531">
        <v>1.449275362318841</v>
      </c>
      <c r="J1531">
        <v>98.550724637681171</v>
      </c>
      <c r="K1531" t="str">
        <f>_xlfn.XLOOKUP(tblProduction[[#This Row],[Product]],tblProducts[Product],tblProducts[Category],"Not Found")</f>
        <v>Standard</v>
      </c>
      <c r="L1531">
        <f>_xlfn.XLOOKUP(tblProduction[[#This Row],[Product]],tblProducts[Product],tblProducts[Target_Units],"Not Found")</f>
        <v>1000</v>
      </c>
    </row>
    <row r="1532" spans="1:12" x14ac:dyDescent="0.3">
      <c r="A1532" s="1">
        <v>46195</v>
      </c>
      <c r="B1532" t="s">
        <v>9</v>
      </c>
      <c r="C1532" t="s">
        <v>12</v>
      </c>
      <c r="D1532" t="s">
        <v>14</v>
      </c>
      <c r="E1532">
        <v>791</v>
      </c>
      <c r="F1532">
        <v>18</v>
      </c>
      <c r="G1532">
        <v>79</v>
      </c>
      <c r="H1532">
        <v>773</v>
      </c>
      <c r="I1532">
        <v>2.2756005056890012</v>
      </c>
      <c r="J1532">
        <v>97.724399494311001</v>
      </c>
      <c r="K1532" t="str">
        <f>_xlfn.XLOOKUP(tblProduction[[#This Row],[Product]],tblProducts[Product],tblProducts[Category],"Not Found")</f>
        <v>Assembly</v>
      </c>
      <c r="L1532">
        <f>_xlfn.XLOOKUP(tblProduction[[#This Row],[Product]],tblProducts[Product],tblProducts[Target_Units],"Not Found")</f>
        <v>850</v>
      </c>
    </row>
    <row r="1533" spans="1:12" x14ac:dyDescent="0.3">
      <c r="A1533" s="1">
        <v>46195</v>
      </c>
      <c r="B1533" t="s">
        <v>9</v>
      </c>
      <c r="C1533" t="s">
        <v>13</v>
      </c>
      <c r="D1533" t="s">
        <v>16</v>
      </c>
      <c r="E1533">
        <v>884</v>
      </c>
      <c r="F1533">
        <v>22</v>
      </c>
      <c r="G1533">
        <v>49</v>
      </c>
      <c r="H1533">
        <v>862</v>
      </c>
      <c r="I1533">
        <v>2.4886877828054299</v>
      </c>
      <c r="J1533">
        <v>97.511312217194572</v>
      </c>
      <c r="K1533" t="str">
        <f>_xlfn.XLOOKUP(tblProduction[[#This Row],[Product]],tblProducts[Product],tblProducts[Category],"Not Found")</f>
        <v>Standard</v>
      </c>
      <c r="L1533">
        <f>_xlfn.XLOOKUP(tblProduction[[#This Row],[Product]],tblProducts[Product],tblProducts[Target_Units],"Not Found")</f>
        <v>1000</v>
      </c>
    </row>
    <row r="1534" spans="1:12" x14ac:dyDescent="0.3">
      <c r="A1534" s="1">
        <v>46195</v>
      </c>
      <c r="B1534" t="s">
        <v>15</v>
      </c>
      <c r="C1534" t="s">
        <v>10</v>
      </c>
      <c r="D1534" t="s">
        <v>11</v>
      </c>
      <c r="E1534">
        <v>788</v>
      </c>
      <c r="F1534">
        <v>19</v>
      </c>
      <c r="G1534">
        <v>77</v>
      </c>
      <c r="H1534">
        <v>769</v>
      </c>
      <c r="I1534">
        <v>2.4111675126903549</v>
      </c>
      <c r="J1534">
        <v>97.588832487309645</v>
      </c>
      <c r="K1534" t="str">
        <f>_xlfn.XLOOKUP(tblProduction[[#This Row],[Product]],tblProducts[Product],tblProducts[Category],"Not Found")</f>
        <v>Precision</v>
      </c>
      <c r="L1534">
        <f>_xlfn.XLOOKUP(tblProduction[[#This Row],[Product]],tblProducts[Product],tblProducts[Target_Units],"Not Found")</f>
        <v>950</v>
      </c>
    </row>
    <row r="1535" spans="1:12" x14ac:dyDescent="0.3">
      <c r="A1535" s="1">
        <v>46195</v>
      </c>
      <c r="B1535" t="s">
        <v>15</v>
      </c>
      <c r="C1535" t="s">
        <v>12</v>
      </c>
      <c r="D1535" t="s">
        <v>11</v>
      </c>
      <c r="E1535">
        <v>879</v>
      </c>
      <c r="F1535">
        <v>21</v>
      </c>
      <c r="G1535">
        <v>42</v>
      </c>
      <c r="H1535">
        <v>858</v>
      </c>
      <c r="I1535">
        <v>2.3890784982935149</v>
      </c>
      <c r="J1535">
        <v>97.610921501706486</v>
      </c>
      <c r="K1535" t="str">
        <f>_xlfn.XLOOKUP(tblProduction[[#This Row],[Product]],tblProducts[Product],tblProducts[Category],"Not Found")</f>
        <v>Precision</v>
      </c>
      <c r="L1535">
        <f>_xlfn.XLOOKUP(tblProduction[[#This Row],[Product]],tblProducts[Product],tblProducts[Target_Units],"Not Found")</f>
        <v>950</v>
      </c>
    </row>
    <row r="1536" spans="1:12" x14ac:dyDescent="0.3">
      <c r="A1536" s="1">
        <v>46195</v>
      </c>
      <c r="B1536" t="s">
        <v>15</v>
      </c>
      <c r="C1536" t="s">
        <v>13</v>
      </c>
      <c r="D1536" t="s">
        <v>11</v>
      </c>
      <c r="E1536">
        <v>785</v>
      </c>
      <c r="F1536">
        <v>27</v>
      </c>
      <c r="G1536">
        <v>26</v>
      </c>
      <c r="H1536">
        <v>758</v>
      </c>
      <c r="I1536">
        <v>3.4394904458598732</v>
      </c>
      <c r="J1536">
        <v>96.560509554140125</v>
      </c>
      <c r="K1536" t="str">
        <f>_xlfn.XLOOKUP(tblProduction[[#This Row],[Product]],tblProducts[Product],tblProducts[Category],"Not Found")</f>
        <v>Precision</v>
      </c>
      <c r="L1536">
        <f>_xlfn.XLOOKUP(tblProduction[[#This Row],[Product]],tblProducts[Product],tblProducts[Target_Units],"Not Found")</f>
        <v>950</v>
      </c>
    </row>
    <row r="1537" spans="1:12" x14ac:dyDescent="0.3">
      <c r="A1537" s="1">
        <v>46195</v>
      </c>
      <c r="B1537" t="s">
        <v>17</v>
      </c>
      <c r="C1537" t="s">
        <v>10</v>
      </c>
      <c r="D1537" t="s">
        <v>16</v>
      </c>
      <c r="E1537">
        <v>803</v>
      </c>
      <c r="F1537">
        <v>28</v>
      </c>
      <c r="G1537">
        <v>56</v>
      </c>
      <c r="H1537">
        <v>775</v>
      </c>
      <c r="I1537">
        <v>3.486924034869241</v>
      </c>
      <c r="J1537">
        <v>96.513075965130753</v>
      </c>
      <c r="K1537" t="str">
        <f>_xlfn.XLOOKUP(tblProduction[[#This Row],[Product]],tblProducts[Product],tblProducts[Category],"Not Found")</f>
        <v>Standard</v>
      </c>
      <c r="L1537">
        <f>_xlfn.XLOOKUP(tblProduction[[#This Row],[Product]],tblProducts[Product],tblProducts[Target_Units],"Not Found")</f>
        <v>1000</v>
      </c>
    </row>
    <row r="1538" spans="1:12" x14ac:dyDescent="0.3">
      <c r="A1538" s="1">
        <v>46195</v>
      </c>
      <c r="B1538" t="s">
        <v>17</v>
      </c>
      <c r="C1538" t="s">
        <v>12</v>
      </c>
      <c r="D1538" t="s">
        <v>11</v>
      </c>
      <c r="E1538">
        <v>754</v>
      </c>
      <c r="F1538">
        <v>26</v>
      </c>
      <c r="G1538">
        <v>62</v>
      </c>
      <c r="H1538">
        <v>728</v>
      </c>
      <c r="I1538">
        <v>3.4482758620689649</v>
      </c>
      <c r="J1538">
        <v>96.551724137931032</v>
      </c>
      <c r="K1538" t="str">
        <f>_xlfn.XLOOKUP(tblProduction[[#This Row],[Product]],tblProducts[Product],tblProducts[Category],"Not Found")</f>
        <v>Precision</v>
      </c>
      <c r="L1538">
        <f>_xlfn.XLOOKUP(tblProduction[[#This Row],[Product]],tblProducts[Product],tblProducts[Target_Units],"Not Found")</f>
        <v>950</v>
      </c>
    </row>
    <row r="1539" spans="1:12" x14ac:dyDescent="0.3">
      <c r="A1539" s="1">
        <v>46195</v>
      </c>
      <c r="B1539" t="s">
        <v>17</v>
      </c>
      <c r="C1539" t="s">
        <v>13</v>
      </c>
      <c r="D1539" t="s">
        <v>14</v>
      </c>
      <c r="E1539">
        <v>692</v>
      </c>
      <c r="F1539">
        <v>36</v>
      </c>
      <c r="G1539">
        <v>2</v>
      </c>
      <c r="H1539">
        <v>656</v>
      </c>
      <c r="I1539">
        <v>5.202312138728324</v>
      </c>
      <c r="J1539">
        <v>94.797687861271669</v>
      </c>
      <c r="K1539" t="str">
        <f>_xlfn.XLOOKUP(tblProduction[[#This Row],[Product]],tblProducts[Product],tblProducts[Category],"Not Found")</f>
        <v>Assembly</v>
      </c>
      <c r="L1539">
        <f>_xlfn.XLOOKUP(tblProduction[[#This Row],[Product]],tblProducts[Product],tblProducts[Target_Units],"Not Found")</f>
        <v>850</v>
      </c>
    </row>
    <row r="1540" spans="1:12" x14ac:dyDescent="0.3">
      <c r="A1540" s="1">
        <v>46196</v>
      </c>
      <c r="B1540" t="s">
        <v>9</v>
      </c>
      <c r="C1540" t="s">
        <v>10</v>
      </c>
      <c r="D1540" t="s">
        <v>18</v>
      </c>
      <c r="E1540">
        <v>909</v>
      </c>
      <c r="F1540">
        <v>13</v>
      </c>
      <c r="G1540">
        <v>47</v>
      </c>
      <c r="H1540">
        <v>896</v>
      </c>
      <c r="I1540">
        <v>1.43014301430143</v>
      </c>
      <c r="J1540">
        <v>98.569856985698564</v>
      </c>
      <c r="K1540" t="str">
        <f>_xlfn.XLOOKUP(tblProduction[[#This Row],[Product]],tblProducts[Product],tblProducts[Category],"Not Found")</f>
        <v>Assembly</v>
      </c>
      <c r="L1540">
        <f>_xlfn.XLOOKUP(tblProduction[[#This Row],[Product]],tblProducts[Product],tblProducts[Target_Units],"Not Found")</f>
        <v>900</v>
      </c>
    </row>
    <row r="1541" spans="1:12" x14ac:dyDescent="0.3">
      <c r="A1541" s="1">
        <v>46196</v>
      </c>
      <c r="B1541" t="s">
        <v>9</v>
      </c>
      <c r="C1541" t="s">
        <v>12</v>
      </c>
      <c r="D1541" t="s">
        <v>14</v>
      </c>
      <c r="E1541">
        <v>871</v>
      </c>
      <c r="F1541">
        <v>20</v>
      </c>
      <c r="G1541">
        <v>20</v>
      </c>
      <c r="H1541">
        <v>851</v>
      </c>
      <c r="I1541">
        <v>2.2962112514351318</v>
      </c>
      <c r="J1541">
        <v>97.703788748564875</v>
      </c>
      <c r="K1541" t="str">
        <f>_xlfn.XLOOKUP(tblProduction[[#This Row],[Product]],tblProducts[Product],tblProducts[Category],"Not Found")</f>
        <v>Assembly</v>
      </c>
      <c r="L1541">
        <f>_xlfn.XLOOKUP(tblProduction[[#This Row],[Product]],tblProducts[Product],tblProducts[Target_Units],"Not Found")</f>
        <v>850</v>
      </c>
    </row>
    <row r="1542" spans="1:12" x14ac:dyDescent="0.3">
      <c r="A1542" s="1">
        <v>46196</v>
      </c>
      <c r="B1542" t="s">
        <v>9</v>
      </c>
      <c r="C1542" t="s">
        <v>13</v>
      </c>
      <c r="D1542" t="s">
        <v>14</v>
      </c>
      <c r="E1542">
        <v>811</v>
      </c>
      <c r="F1542">
        <v>26</v>
      </c>
      <c r="G1542">
        <v>30</v>
      </c>
      <c r="H1542">
        <v>785</v>
      </c>
      <c r="I1542">
        <v>3.205918618988902</v>
      </c>
      <c r="J1542">
        <v>96.794081381011097</v>
      </c>
      <c r="K1542" t="str">
        <f>_xlfn.XLOOKUP(tblProduction[[#This Row],[Product]],tblProducts[Product],tblProducts[Category],"Not Found")</f>
        <v>Assembly</v>
      </c>
      <c r="L1542">
        <f>_xlfn.XLOOKUP(tblProduction[[#This Row],[Product]],tblProducts[Product],tblProducts[Target_Units],"Not Found")</f>
        <v>850</v>
      </c>
    </row>
    <row r="1543" spans="1:12" x14ac:dyDescent="0.3">
      <c r="A1543" s="1">
        <v>46196</v>
      </c>
      <c r="B1543" t="s">
        <v>15</v>
      </c>
      <c r="C1543" t="s">
        <v>10</v>
      </c>
      <c r="D1543" t="s">
        <v>14</v>
      </c>
      <c r="E1543">
        <v>749</v>
      </c>
      <c r="F1543">
        <v>24</v>
      </c>
      <c r="G1543">
        <v>44</v>
      </c>
      <c r="H1543">
        <v>725</v>
      </c>
      <c r="I1543">
        <v>3.2042723631508681</v>
      </c>
      <c r="J1543">
        <v>96.795727636849122</v>
      </c>
      <c r="K1543" t="str">
        <f>_xlfn.XLOOKUP(tblProduction[[#This Row],[Product]],tblProducts[Product],tblProducts[Category],"Not Found")</f>
        <v>Assembly</v>
      </c>
      <c r="L1543">
        <f>_xlfn.XLOOKUP(tblProduction[[#This Row],[Product]],tblProducts[Product],tblProducts[Target_Units],"Not Found")</f>
        <v>850</v>
      </c>
    </row>
    <row r="1544" spans="1:12" x14ac:dyDescent="0.3">
      <c r="A1544" s="1">
        <v>46196</v>
      </c>
      <c r="B1544" t="s">
        <v>15</v>
      </c>
      <c r="C1544" t="s">
        <v>12</v>
      </c>
      <c r="D1544" t="s">
        <v>14</v>
      </c>
      <c r="E1544">
        <v>731</v>
      </c>
      <c r="F1544">
        <v>24</v>
      </c>
      <c r="G1544">
        <v>44</v>
      </c>
      <c r="H1544">
        <v>707</v>
      </c>
      <c r="I1544">
        <v>3.2831737346101231</v>
      </c>
      <c r="J1544">
        <v>96.716826265389884</v>
      </c>
      <c r="K1544" t="str">
        <f>_xlfn.XLOOKUP(tblProduction[[#This Row],[Product]],tblProducts[Product],tblProducts[Category],"Not Found")</f>
        <v>Assembly</v>
      </c>
      <c r="L1544">
        <f>_xlfn.XLOOKUP(tblProduction[[#This Row],[Product]],tblProducts[Product],tblProducts[Target_Units],"Not Found")</f>
        <v>850</v>
      </c>
    </row>
    <row r="1545" spans="1:12" x14ac:dyDescent="0.3">
      <c r="A1545" s="1">
        <v>46196</v>
      </c>
      <c r="B1545" t="s">
        <v>15</v>
      </c>
      <c r="C1545" t="s">
        <v>13</v>
      </c>
      <c r="D1545" t="s">
        <v>18</v>
      </c>
      <c r="E1545">
        <v>762</v>
      </c>
      <c r="F1545">
        <v>26</v>
      </c>
      <c r="G1545">
        <v>33</v>
      </c>
      <c r="H1545">
        <v>736</v>
      </c>
      <c r="I1545">
        <v>3.4120734908136479</v>
      </c>
      <c r="J1545">
        <v>96.587926509186346</v>
      </c>
      <c r="K1545" t="str">
        <f>_xlfn.XLOOKUP(tblProduction[[#This Row],[Product]],tblProducts[Product],tblProducts[Category],"Not Found")</f>
        <v>Assembly</v>
      </c>
      <c r="L1545">
        <f>_xlfn.XLOOKUP(tblProduction[[#This Row],[Product]],tblProducts[Product],tblProducts[Target_Units],"Not Found")</f>
        <v>900</v>
      </c>
    </row>
    <row r="1546" spans="1:12" x14ac:dyDescent="0.3">
      <c r="A1546" s="1">
        <v>46196</v>
      </c>
      <c r="B1546" t="s">
        <v>17</v>
      </c>
      <c r="C1546" t="s">
        <v>10</v>
      </c>
      <c r="D1546" t="s">
        <v>11</v>
      </c>
      <c r="E1546">
        <v>801</v>
      </c>
      <c r="F1546">
        <v>28</v>
      </c>
      <c r="G1546">
        <v>17</v>
      </c>
      <c r="H1546">
        <v>773</v>
      </c>
      <c r="I1546">
        <v>3.4956304619225969</v>
      </c>
      <c r="J1546">
        <v>96.504369538077412</v>
      </c>
      <c r="K1546" t="str">
        <f>_xlfn.XLOOKUP(tblProduction[[#This Row],[Product]],tblProducts[Product],tblProducts[Category],"Not Found")</f>
        <v>Precision</v>
      </c>
      <c r="L1546">
        <f>_xlfn.XLOOKUP(tblProduction[[#This Row],[Product]],tblProducts[Product],tblProducts[Target_Units],"Not Found")</f>
        <v>950</v>
      </c>
    </row>
    <row r="1547" spans="1:12" x14ac:dyDescent="0.3">
      <c r="A1547" s="1">
        <v>46196</v>
      </c>
      <c r="B1547" t="s">
        <v>17</v>
      </c>
      <c r="C1547" t="s">
        <v>12</v>
      </c>
      <c r="D1547" t="s">
        <v>14</v>
      </c>
      <c r="E1547">
        <v>653</v>
      </c>
      <c r="F1547">
        <v>28</v>
      </c>
      <c r="G1547">
        <v>76</v>
      </c>
      <c r="H1547">
        <v>625</v>
      </c>
      <c r="I1547">
        <v>4.2879019908116387</v>
      </c>
      <c r="J1547">
        <v>95.712098009188367</v>
      </c>
      <c r="K1547" t="str">
        <f>_xlfn.XLOOKUP(tblProduction[[#This Row],[Product]],tblProducts[Product],tblProducts[Category],"Not Found")</f>
        <v>Assembly</v>
      </c>
      <c r="L1547">
        <f>_xlfn.XLOOKUP(tblProduction[[#This Row],[Product]],tblProducts[Product],tblProducts[Target_Units],"Not Found")</f>
        <v>850</v>
      </c>
    </row>
    <row r="1548" spans="1:12" x14ac:dyDescent="0.3">
      <c r="A1548" s="1">
        <v>46196</v>
      </c>
      <c r="B1548" t="s">
        <v>17</v>
      </c>
      <c r="C1548" t="s">
        <v>13</v>
      </c>
      <c r="D1548" t="s">
        <v>16</v>
      </c>
      <c r="E1548">
        <v>743</v>
      </c>
      <c r="F1548">
        <v>33</v>
      </c>
      <c r="G1548">
        <v>34</v>
      </c>
      <c r="H1548">
        <v>710</v>
      </c>
      <c r="I1548">
        <v>4.4414535666218038</v>
      </c>
      <c r="J1548">
        <v>95.558546433378197</v>
      </c>
      <c r="K1548" t="str">
        <f>_xlfn.XLOOKUP(tblProduction[[#This Row],[Product]],tblProducts[Product],tblProducts[Category],"Not Found")</f>
        <v>Standard</v>
      </c>
      <c r="L1548">
        <f>_xlfn.XLOOKUP(tblProduction[[#This Row],[Product]],tblProducts[Product],tblProducts[Target_Units],"Not Found")</f>
        <v>1000</v>
      </c>
    </row>
    <row r="1549" spans="1:12" x14ac:dyDescent="0.3">
      <c r="A1549" s="1">
        <v>46197</v>
      </c>
      <c r="B1549" t="s">
        <v>9</v>
      </c>
      <c r="C1549" t="s">
        <v>10</v>
      </c>
      <c r="D1549" t="s">
        <v>16</v>
      </c>
      <c r="E1549">
        <v>919</v>
      </c>
      <c r="F1549">
        <v>13</v>
      </c>
      <c r="G1549">
        <v>85</v>
      </c>
      <c r="H1549">
        <v>906</v>
      </c>
      <c r="I1549">
        <v>1.4145810663764959</v>
      </c>
      <c r="J1549">
        <v>98.585418933623501</v>
      </c>
      <c r="K1549" t="str">
        <f>_xlfn.XLOOKUP(tblProduction[[#This Row],[Product]],tblProducts[Product],tblProducts[Category],"Not Found")</f>
        <v>Standard</v>
      </c>
      <c r="L1549">
        <f>_xlfn.XLOOKUP(tblProduction[[#This Row],[Product]],tblProducts[Product],tblProducts[Target_Units],"Not Found")</f>
        <v>1000</v>
      </c>
    </row>
    <row r="1550" spans="1:12" x14ac:dyDescent="0.3">
      <c r="A1550" s="1">
        <v>46197</v>
      </c>
      <c r="B1550" t="s">
        <v>9</v>
      </c>
      <c r="C1550" t="s">
        <v>12</v>
      </c>
      <c r="D1550" t="s">
        <v>14</v>
      </c>
      <c r="E1550">
        <v>749</v>
      </c>
      <c r="F1550">
        <v>17</v>
      </c>
      <c r="G1550">
        <v>89</v>
      </c>
      <c r="H1550">
        <v>732</v>
      </c>
      <c r="I1550">
        <v>2.2696929238985319</v>
      </c>
      <c r="J1550">
        <v>97.730307076101468</v>
      </c>
      <c r="K1550" t="str">
        <f>_xlfn.XLOOKUP(tblProduction[[#This Row],[Product]],tblProducts[Product],tblProducts[Category],"Not Found")</f>
        <v>Assembly</v>
      </c>
      <c r="L1550">
        <f>_xlfn.XLOOKUP(tblProduction[[#This Row],[Product]],tblProducts[Product],tblProducts[Target_Units],"Not Found")</f>
        <v>850</v>
      </c>
    </row>
    <row r="1551" spans="1:12" x14ac:dyDescent="0.3">
      <c r="A1551" s="1">
        <v>46197</v>
      </c>
      <c r="B1551" t="s">
        <v>9</v>
      </c>
      <c r="C1551" t="s">
        <v>13</v>
      </c>
      <c r="D1551" t="s">
        <v>14</v>
      </c>
      <c r="E1551">
        <v>815</v>
      </c>
      <c r="F1551">
        <v>26</v>
      </c>
      <c r="G1551">
        <v>14</v>
      </c>
      <c r="H1551">
        <v>789</v>
      </c>
      <c r="I1551">
        <v>3.1901840490797548</v>
      </c>
      <c r="J1551">
        <v>96.809815950920239</v>
      </c>
      <c r="K1551" t="str">
        <f>_xlfn.XLOOKUP(tblProduction[[#This Row],[Product]],tblProducts[Product],tblProducts[Category],"Not Found")</f>
        <v>Assembly</v>
      </c>
      <c r="L1551">
        <f>_xlfn.XLOOKUP(tblProduction[[#This Row],[Product]],tblProducts[Product],tblProducts[Target_Units],"Not Found")</f>
        <v>850</v>
      </c>
    </row>
    <row r="1552" spans="1:12" x14ac:dyDescent="0.3">
      <c r="A1552" s="1">
        <v>46197</v>
      </c>
      <c r="B1552" t="s">
        <v>15</v>
      </c>
      <c r="C1552" t="s">
        <v>10</v>
      </c>
      <c r="D1552" t="s">
        <v>16</v>
      </c>
      <c r="E1552">
        <v>967</v>
      </c>
      <c r="F1552">
        <v>24</v>
      </c>
      <c r="G1552">
        <v>38</v>
      </c>
      <c r="H1552">
        <v>943</v>
      </c>
      <c r="I1552">
        <v>2.4819027921406409</v>
      </c>
      <c r="J1552">
        <v>97.518097207859356</v>
      </c>
      <c r="K1552" t="str">
        <f>_xlfn.XLOOKUP(tblProduction[[#This Row],[Product]],tblProducts[Product],tblProducts[Category],"Not Found")</f>
        <v>Standard</v>
      </c>
      <c r="L1552">
        <f>_xlfn.XLOOKUP(tblProduction[[#This Row],[Product]],tblProducts[Product],tblProducts[Target_Units],"Not Found")</f>
        <v>1000</v>
      </c>
    </row>
    <row r="1553" spans="1:12" x14ac:dyDescent="0.3">
      <c r="A1553" s="1">
        <v>46197</v>
      </c>
      <c r="B1553" t="s">
        <v>15</v>
      </c>
      <c r="C1553" t="s">
        <v>12</v>
      </c>
      <c r="D1553" t="s">
        <v>18</v>
      </c>
      <c r="E1553">
        <v>786</v>
      </c>
      <c r="F1553">
        <v>19</v>
      </c>
      <c r="G1553">
        <v>58</v>
      </c>
      <c r="H1553">
        <v>767</v>
      </c>
      <c r="I1553">
        <v>2.4173027989821878</v>
      </c>
      <c r="J1553">
        <v>97.582697201017808</v>
      </c>
      <c r="K1553" t="str">
        <f>_xlfn.XLOOKUP(tblProduction[[#This Row],[Product]],tblProducts[Product],tblProducts[Category],"Not Found")</f>
        <v>Assembly</v>
      </c>
      <c r="L1553">
        <f>_xlfn.XLOOKUP(tblProduction[[#This Row],[Product]],tblProducts[Product],tblProducts[Target_Units],"Not Found")</f>
        <v>900</v>
      </c>
    </row>
    <row r="1554" spans="1:12" x14ac:dyDescent="0.3">
      <c r="A1554" s="1">
        <v>46197</v>
      </c>
      <c r="B1554" t="s">
        <v>15</v>
      </c>
      <c r="C1554" t="s">
        <v>13</v>
      </c>
      <c r="D1554" t="s">
        <v>18</v>
      </c>
      <c r="E1554">
        <v>790</v>
      </c>
      <c r="F1554">
        <v>27</v>
      </c>
      <c r="G1554">
        <v>0</v>
      </c>
      <c r="H1554">
        <v>763</v>
      </c>
      <c r="I1554">
        <v>3.4177215189873422</v>
      </c>
      <c r="J1554">
        <v>96.582278481012665</v>
      </c>
      <c r="K1554" t="str">
        <f>_xlfn.XLOOKUP(tblProduction[[#This Row],[Product]],tblProducts[Product],tblProducts[Category],"Not Found")</f>
        <v>Assembly</v>
      </c>
      <c r="L1554">
        <f>_xlfn.XLOOKUP(tblProduction[[#This Row],[Product]],tblProducts[Product],tblProducts[Target_Units],"Not Found")</f>
        <v>900</v>
      </c>
    </row>
    <row r="1555" spans="1:12" x14ac:dyDescent="0.3">
      <c r="A1555" s="1">
        <v>46197</v>
      </c>
      <c r="B1555" t="s">
        <v>17</v>
      </c>
      <c r="C1555" t="s">
        <v>10</v>
      </c>
      <c r="D1555" t="s">
        <v>11</v>
      </c>
      <c r="E1555">
        <v>759</v>
      </c>
      <c r="F1555">
        <v>26</v>
      </c>
      <c r="G1555">
        <v>74</v>
      </c>
      <c r="H1555">
        <v>733</v>
      </c>
      <c r="I1555">
        <v>3.4255599472990781</v>
      </c>
      <c r="J1555">
        <v>96.574440052700922</v>
      </c>
      <c r="K1555" t="str">
        <f>_xlfn.XLOOKUP(tblProduction[[#This Row],[Product]],tblProducts[Product],tblProducts[Category],"Not Found")</f>
        <v>Precision</v>
      </c>
      <c r="L1555">
        <f>_xlfn.XLOOKUP(tblProduction[[#This Row],[Product]],tblProducts[Product],tblProducts[Target_Units],"Not Found")</f>
        <v>950</v>
      </c>
    </row>
    <row r="1556" spans="1:12" x14ac:dyDescent="0.3">
      <c r="A1556" s="1">
        <v>46197</v>
      </c>
      <c r="B1556" t="s">
        <v>17</v>
      </c>
      <c r="C1556" t="s">
        <v>12</v>
      </c>
      <c r="D1556" t="s">
        <v>18</v>
      </c>
      <c r="E1556">
        <v>736</v>
      </c>
      <c r="F1556">
        <v>25</v>
      </c>
      <c r="G1556">
        <v>32</v>
      </c>
      <c r="H1556">
        <v>711</v>
      </c>
      <c r="I1556">
        <v>3.3967391304347818</v>
      </c>
      <c r="J1556">
        <v>96.603260869565219</v>
      </c>
      <c r="K1556" t="str">
        <f>_xlfn.XLOOKUP(tblProduction[[#This Row],[Product]],tblProducts[Product],tblProducts[Category],"Not Found")</f>
        <v>Assembly</v>
      </c>
      <c r="L1556">
        <f>_xlfn.XLOOKUP(tblProduction[[#This Row],[Product]],tblProducts[Product],tblProducts[Target_Units],"Not Found")</f>
        <v>900</v>
      </c>
    </row>
    <row r="1557" spans="1:12" x14ac:dyDescent="0.3">
      <c r="A1557" s="1">
        <v>46197</v>
      </c>
      <c r="B1557" t="s">
        <v>17</v>
      </c>
      <c r="C1557" t="s">
        <v>13</v>
      </c>
      <c r="D1557" t="s">
        <v>18</v>
      </c>
      <c r="E1557">
        <v>594</v>
      </c>
      <c r="F1557">
        <v>26</v>
      </c>
      <c r="G1557">
        <v>82</v>
      </c>
      <c r="H1557">
        <v>568</v>
      </c>
      <c r="I1557">
        <v>4.3771043771043772</v>
      </c>
      <c r="J1557">
        <v>95.622895622895626</v>
      </c>
      <c r="K1557" t="str">
        <f>_xlfn.XLOOKUP(tblProduction[[#This Row],[Product]],tblProducts[Product],tblProducts[Category],"Not Found")</f>
        <v>Assembly</v>
      </c>
      <c r="L1557">
        <f>_xlfn.XLOOKUP(tblProduction[[#This Row],[Product]],tblProducts[Product],tblProducts[Target_Units],"Not Found")</f>
        <v>900</v>
      </c>
    </row>
    <row r="1558" spans="1:12" x14ac:dyDescent="0.3">
      <c r="A1558" s="1">
        <v>46198</v>
      </c>
      <c r="B1558" t="s">
        <v>9</v>
      </c>
      <c r="C1558" t="s">
        <v>10</v>
      </c>
      <c r="D1558" t="s">
        <v>16</v>
      </c>
      <c r="E1558">
        <v>1054</v>
      </c>
      <c r="F1558">
        <v>15</v>
      </c>
      <c r="G1558">
        <v>23</v>
      </c>
      <c r="H1558">
        <v>1039</v>
      </c>
      <c r="I1558">
        <v>1.4231499051233401</v>
      </c>
      <c r="J1558">
        <v>98.576850094876662</v>
      </c>
      <c r="K1558" t="str">
        <f>_xlfn.XLOOKUP(tblProduction[[#This Row],[Product]],tblProducts[Product],tblProducts[Category],"Not Found")</f>
        <v>Standard</v>
      </c>
      <c r="L1558">
        <f>_xlfn.XLOOKUP(tblProduction[[#This Row],[Product]],tblProducts[Product],tblProducts[Target_Units],"Not Found")</f>
        <v>1000</v>
      </c>
    </row>
    <row r="1559" spans="1:12" x14ac:dyDescent="0.3">
      <c r="A1559" s="1">
        <v>46198</v>
      </c>
      <c r="B1559" t="s">
        <v>9</v>
      </c>
      <c r="C1559" t="s">
        <v>12</v>
      </c>
      <c r="D1559" t="s">
        <v>16</v>
      </c>
      <c r="E1559">
        <v>1021</v>
      </c>
      <c r="F1559">
        <v>15</v>
      </c>
      <c r="G1559">
        <v>18</v>
      </c>
      <c r="H1559">
        <v>1006</v>
      </c>
      <c r="I1559">
        <v>1.4691478942213521</v>
      </c>
      <c r="J1559">
        <v>98.530852105778649</v>
      </c>
      <c r="K1559" t="str">
        <f>_xlfn.XLOOKUP(tblProduction[[#This Row],[Product]],tblProducts[Product],tblProducts[Category],"Not Found")</f>
        <v>Standard</v>
      </c>
      <c r="L1559">
        <f>_xlfn.XLOOKUP(tblProduction[[#This Row],[Product]],tblProducts[Product],tblProducts[Target_Units],"Not Found")</f>
        <v>1000</v>
      </c>
    </row>
    <row r="1560" spans="1:12" x14ac:dyDescent="0.3">
      <c r="A1560" s="1">
        <v>46198</v>
      </c>
      <c r="B1560" t="s">
        <v>9</v>
      </c>
      <c r="C1560" t="s">
        <v>13</v>
      </c>
      <c r="D1560" t="s">
        <v>14</v>
      </c>
      <c r="E1560">
        <v>745</v>
      </c>
      <c r="F1560">
        <v>24</v>
      </c>
      <c r="G1560">
        <v>80</v>
      </c>
      <c r="H1560">
        <v>721</v>
      </c>
      <c r="I1560">
        <v>3.2214765100671139</v>
      </c>
      <c r="J1560">
        <v>96.778523489932894</v>
      </c>
      <c r="K1560" t="str">
        <f>_xlfn.XLOOKUP(tblProduction[[#This Row],[Product]],tblProducts[Product],tblProducts[Category],"Not Found")</f>
        <v>Assembly</v>
      </c>
      <c r="L1560">
        <f>_xlfn.XLOOKUP(tblProduction[[#This Row],[Product]],tblProducts[Product],tblProducts[Target_Units],"Not Found")</f>
        <v>850</v>
      </c>
    </row>
    <row r="1561" spans="1:12" x14ac:dyDescent="0.3">
      <c r="A1561" s="1">
        <v>46198</v>
      </c>
      <c r="B1561" t="s">
        <v>15</v>
      </c>
      <c r="C1561" t="s">
        <v>10</v>
      </c>
      <c r="D1561" t="s">
        <v>11</v>
      </c>
      <c r="E1561">
        <v>914</v>
      </c>
      <c r="F1561">
        <v>22</v>
      </c>
      <c r="G1561">
        <v>40</v>
      </c>
      <c r="H1561">
        <v>892</v>
      </c>
      <c r="I1561">
        <v>2.407002188183808</v>
      </c>
      <c r="J1561">
        <v>97.59299781181619</v>
      </c>
      <c r="K1561" t="str">
        <f>_xlfn.XLOOKUP(tblProduction[[#This Row],[Product]],tblProducts[Product],tblProducts[Category],"Not Found")</f>
        <v>Precision</v>
      </c>
      <c r="L1561">
        <f>_xlfn.XLOOKUP(tblProduction[[#This Row],[Product]],tblProducts[Product],tblProducts[Target_Units],"Not Found")</f>
        <v>950</v>
      </c>
    </row>
    <row r="1562" spans="1:12" x14ac:dyDescent="0.3">
      <c r="A1562" s="1">
        <v>46198</v>
      </c>
      <c r="B1562" t="s">
        <v>15</v>
      </c>
      <c r="C1562" t="s">
        <v>12</v>
      </c>
      <c r="D1562" t="s">
        <v>14</v>
      </c>
      <c r="E1562">
        <v>728</v>
      </c>
      <c r="F1562">
        <v>24</v>
      </c>
      <c r="G1562">
        <v>49</v>
      </c>
      <c r="H1562">
        <v>704</v>
      </c>
      <c r="I1562">
        <v>3.296703296703297</v>
      </c>
      <c r="J1562">
        <v>96.703296703296701</v>
      </c>
      <c r="K1562" t="str">
        <f>_xlfn.XLOOKUP(tblProduction[[#This Row],[Product]],tblProducts[Product],tblProducts[Category],"Not Found")</f>
        <v>Assembly</v>
      </c>
      <c r="L1562">
        <f>_xlfn.XLOOKUP(tblProduction[[#This Row],[Product]],tblProducts[Product],tblProducts[Target_Units],"Not Found")</f>
        <v>850</v>
      </c>
    </row>
    <row r="1563" spans="1:12" x14ac:dyDescent="0.3">
      <c r="A1563" s="1">
        <v>46198</v>
      </c>
      <c r="B1563" t="s">
        <v>15</v>
      </c>
      <c r="C1563" t="s">
        <v>13</v>
      </c>
      <c r="D1563" t="s">
        <v>16</v>
      </c>
      <c r="E1563">
        <v>828</v>
      </c>
      <c r="F1563">
        <v>28</v>
      </c>
      <c r="G1563">
        <v>33</v>
      </c>
      <c r="H1563">
        <v>800</v>
      </c>
      <c r="I1563">
        <v>3.381642512077295</v>
      </c>
      <c r="J1563">
        <v>96.618357487922708</v>
      </c>
      <c r="K1563" t="str">
        <f>_xlfn.XLOOKUP(tblProduction[[#This Row],[Product]],tblProducts[Product],tblProducts[Category],"Not Found")</f>
        <v>Standard</v>
      </c>
      <c r="L1563">
        <f>_xlfn.XLOOKUP(tblProduction[[#This Row],[Product]],tblProducts[Product],tblProducts[Target_Units],"Not Found")</f>
        <v>1000</v>
      </c>
    </row>
    <row r="1564" spans="1:12" x14ac:dyDescent="0.3">
      <c r="A1564" s="1">
        <v>46198</v>
      </c>
      <c r="B1564" t="s">
        <v>17</v>
      </c>
      <c r="C1564" t="s">
        <v>10</v>
      </c>
      <c r="D1564" t="s">
        <v>14</v>
      </c>
      <c r="E1564">
        <v>726</v>
      </c>
      <c r="F1564">
        <v>31</v>
      </c>
      <c r="G1564">
        <v>57</v>
      </c>
      <c r="H1564">
        <v>695</v>
      </c>
      <c r="I1564">
        <v>4.2699724517906326</v>
      </c>
      <c r="J1564">
        <v>95.730027548209364</v>
      </c>
      <c r="K1564" t="str">
        <f>_xlfn.XLOOKUP(tblProduction[[#This Row],[Product]],tblProducts[Product],tblProducts[Category],"Not Found")</f>
        <v>Assembly</v>
      </c>
      <c r="L1564">
        <f>_xlfn.XLOOKUP(tblProduction[[#This Row],[Product]],tblProducts[Product],tblProducts[Target_Units],"Not Found")</f>
        <v>850</v>
      </c>
    </row>
    <row r="1565" spans="1:12" x14ac:dyDescent="0.3">
      <c r="A1565" s="1">
        <v>46198</v>
      </c>
      <c r="B1565" t="s">
        <v>17</v>
      </c>
      <c r="C1565" t="s">
        <v>13</v>
      </c>
      <c r="D1565" t="s">
        <v>14</v>
      </c>
      <c r="E1565">
        <v>665</v>
      </c>
      <c r="F1565">
        <v>35</v>
      </c>
      <c r="G1565">
        <v>12</v>
      </c>
      <c r="H1565">
        <v>630</v>
      </c>
      <c r="I1565">
        <v>5.2631578947368416</v>
      </c>
      <c r="J1565">
        <v>94.73684210526315</v>
      </c>
      <c r="K1565" t="str">
        <f>_xlfn.XLOOKUP(tblProduction[[#This Row],[Product]],tblProducts[Product],tblProducts[Category],"Not Found")</f>
        <v>Assembly</v>
      </c>
      <c r="L1565">
        <f>_xlfn.XLOOKUP(tblProduction[[#This Row],[Product]],tblProducts[Product],tblProducts[Target_Units],"Not Found")</f>
        <v>850</v>
      </c>
    </row>
    <row r="1566" spans="1:12" x14ac:dyDescent="0.3">
      <c r="A1566" s="1">
        <v>46199</v>
      </c>
      <c r="B1566" t="s">
        <v>9</v>
      </c>
      <c r="C1566" t="s">
        <v>10</v>
      </c>
      <c r="D1566" t="s">
        <v>16</v>
      </c>
      <c r="E1566">
        <v>1063</v>
      </c>
      <c r="F1566">
        <v>15</v>
      </c>
      <c r="G1566">
        <v>36</v>
      </c>
      <c r="H1566">
        <v>1048</v>
      </c>
      <c r="I1566">
        <v>1.411100658513641</v>
      </c>
      <c r="J1566">
        <v>98.588899341486353</v>
      </c>
      <c r="K1566" t="str">
        <f>_xlfn.XLOOKUP(tblProduction[[#This Row],[Product]],tblProducts[Product],tblProducts[Category],"Not Found")</f>
        <v>Standard</v>
      </c>
      <c r="L1566">
        <f>_xlfn.XLOOKUP(tblProduction[[#This Row],[Product]],tblProducts[Product],tblProducts[Target_Units],"Not Found")</f>
        <v>1000</v>
      </c>
    </row>
    <row r="1567" spans="1:12" x14ac:dyDescent="0.3">
      <c r="A1567" s="1">
        <v>46199</v>
      </c>
      <c r="B1567" t="s">
        <v>9</v>
      </c>
      <c r="C1567" t="s">
        <v>12</v>
      </c>
      <c r="D1567" t="s">
        <v>14</v>
      </c>
      <c r="E1567">
        <v>886</v>
      </c>
      <c r="F1567">
        <v>20</v>
      </c>
      <c r="G1567">
        <v>2</v>
      </c>
      <c r="H1567">
        <v>866</v>
      </c>
      <c r="I1567">
        <v>2.2573363431151239</v>
      </c>
      <c r="J1567">
        <v>97.742663656884872</v>
      </c>
      <c r="K1567" t="str">
        <f>_xlfn.XLOOKUP(tblProduction[[#This Row],[Product]],tblProducts[Product],tblProducts[Category],"Not Found")</f>
        <v>Assembly</v>
      </c>
      <c r="L1567">
        <f>_xlfn.XLOOKUP(tblProduction[[#This Row],[Product]],tblProducts[Product],tblProducts[Target_Units],"Not Found")</f>
        <v>850</v>
      </c>
    </row>
    <row r="1568" spans="1:12" x14ac:dyDescent="0.3">
      <c r="A1568" s="1">
        <v>46199</v>
      </c>
      <c r="B1568" t="s">
        <v>9</v>
      </c>
      <c r="C1568" t="s">
        <v>13</v>
      </c>
      <c r="D1568" t="s">
        <v>14</v>
      </c>
      <c r="E1568">
        <v>751</v>
      </c>
      <c r="F1568">
        <v>24</v>
      </c>
      <c r="G1568">
        <v>48</v>
      </c>
      <c r="H1568">
        <v>727</v>
      </c>
      <c r="I1568">
        <v>3.1957390146471369</v>
      </c>
      <c r="J1568">
        <v>96.804260985352869</v>
      </c>
      <c r="K1568" t="str">
        <f>_xlfn.XLOOKUP(tblProduction[[#This Row],[Product]],tblProducts[Product],tblProducts[Category],"Not Found")</f>
        <v>Assembly</v>
      </c>
      <c r="L1568">
        <f>_xlfn.XLOOKUP(tblProduction[[#This Row],[Product]],tblProducts[Product],tblProducts[Target_Units],"Not Found")</f>
        <v>850</v>
      </c>
    </row>
    <row r="1569" spans="1:12" x14ac:dyDescent="0.3">
      <c r="A1569" s="1">
        <v>46199</v>
      </c>
      <c r="B1569" t="s">
        <v>15</v>
      </c>
      <c r="C1569" t="s">
        <v>10</v>
      </c>
      <c r="D1569" t="s">
        <v>18</v>
      </c>
      <c r="E1569">
        <v>865</v>
      </c>
      <c r="F1569">
        <v>21</v>
      </c>
      <c r="G1569">
        <v>50</v>
      </c>
      <c r="H1569">
        <v>844</v>
      </c>
      <c r="I1569">
        <v>2.4277456647398838</v>
      </c>
      <c r="J1569">
        <v>97.572254335260112</v>
      </c>
      <c r="K1569" t="str">
        <f>_xlfn.XLOOKUP(tblProduction[[#This Row],[Product]],tblProducts[Product],tblProducts[Category],"Not Found")</f>
        <v>Assembly</v>
      </c>
      <c r="L1569">
        <f>_xlfn.XLOOKUP(tblProduction[[#This Row],[Product]],tblProducts[Product],tblProducts[Target_Units],"Not Found")</f>
        <v>900</v>
      </c>
    </row>
    <row r="1570" spans="1:12" x14ac:dyDescent="0.3">
      <c r="A1570" s="1">
        <v>46199</v>
      </c>
      <c r="B1570" t="s">
        <v>15</v>
      </c>
      <c r="C1570" t="s">
        <v>12</v>
      </c>
      <c r="D1570" t="s">
        <v>18</v>
      </c>
      <c r="E1570">
        <v>743</v>
      </c>
      <c r="F1570">
        <v>18</v>
      </c>
      <c r="G1570">
        <v>86</v>
      </c>
      <c r="H1570">
        <v>725</v>
      </c>
      <c r="I1570">
        <v>2.4226110363391662</v>
      </c>
      <c r="J1570">
        <v>97.577388963660837</v>
      </c>
      <c r="K1570" t="str">
        <f>_xlfn.XLOOKUP(tblProduction[[#This Row],[Product]],tblProducts[Product],tblProducts[Category],"Not Found")</f>
        <v>Assembly</v>
      </c>
      <c r="L1570">
        <f>_xlfn.XLOOKUP(tblProduction[[#This Row],[Product]],tblProducts[Product],tblProducts[Target_Units],"Not Found")</f>
        <v>900</v>
      </c>
    </row>
    <row r="1571" spans="1:12" x14ac:dyDescent="0.3">
      <c r="A1571" s="1">
        <v>46199</v>
      </c>
      <c r="B1571" t="s">
        <v>15</v>
      </c>
      <c r="C1571" t="s">
        <v>13</v>
      </c>
      <c r="D1571" t="s">
        <v>18</v>
      </c>
      <c r="E1571">
        <v>778</v>
      </c>
      <c r="F1571">
        <v>27</v>
      </c>
      <c r="G1571">
        <v>35</v>
      </c>
      <c r="H1571">
        <v>751</v>
      </c>
      <c r="I1571">
        <v>3.4704370179948589</v>
      </c>
      <c r="J1571">
        <v>96.529562982005146</v>
      </c>
      <c r="K1571" t="str">
        <f>_xlfn.XLOOKUP(tblProduction[[#This Row],[Product]],tblProducts[Product],tblProducts[Category],"Not Found")</f>
        <v>Assembly</v>
      </c>
      <c r="L1571">
        <f>_xlfn.XLOOKUP(tblProduction[[#This Row],[Product]],tblProducts[Product],tblProducts[Target_Units],"Not Found")</f>
        <v>900</v>
      </c>
    </row>
    <row r="1572" spans="1:12" x14ac:dyDescent="0.3">
      <c r="A1572" s="1">
        <v>46199</v>
      </c>
      <c r="B1572" t="s">
        <v>17</v>
      </c>
      <c r="C1572" t="s">
        <v>10</v>
      </c>
      <c r="D1572" t="s">
        <v>14</v>
      </c>
      <c r="E1572">
        <v>675</v>
      </c>
      <c r="F1572">
        <v>29</v>
      </c>
      <c r="G1572">
        <v>75</v>
      </c>
      <c r="H1572">
        <v>646</v>
      </c>
      <c r="I1572">
        <v>4.2962962962962958</v>
      </c>
      <c r="J1572">
        <v>95.703703703703695</v>
      </c>
      <c r="K1572" t="str">
        <f>_xlfn.XLOOKUP(tblProduction[[#This Row],[Product]],tblProducts[Product],tblProducts[Category],"Not Found")</f>
        <v>Assembly</v>
      </c>
      <c r="L1572">
        <f>_xlfn.XLOOKUP(tblProduction[[#This Row],[Product]],tblProducts[Product],tblProducts[Target_Units],"Not Found")</f>
        <v>850</v>
      </c>
    </row>
    <row r="1573" spans="1:12" x14ac:dyDescent="0.3">
      <c r="A1573" s="1">
        <v>46199</v>
      </c>
      <c r="B1573" t="s">
        <v>17</v>
      </c>
      <c r="C1573" t="s">
        <v>12</v>
      </c>
      <c r="D1573" t="s">
        <v>11</v>
      </c>
      <c r="E1573">
        <v>765</v>
      </c>
      <c r="F1573">
        <v>26</v>
      </c>
      <c r="G1573">
        <v>35</v>
      </c>
      <c r="H1573">
        <v>739</v>
      </c>
      <c r="I1573">
        <v>3.3986928104575158</v>
      </c>
      <c r="J1573">
        <v>96.601307189542482</v>
      </c>
      <c r="K1573" t="str">
        <f>_xlfn.XLOOKUP(tblProduction[[#This Row],[Product]],tblProducts[Product],tblProducts[Category],"Not Found")</f>
        <v>Precision</v>
      </c>
      <c r="L1573">
        <f>_xlfn.XLOOKUP(tblProduction[[#This Row],[Product]],tblProducts[Product],tblProducts[Target_Units],"Not Found")</f>
        <v>950</v>
      </c>
    </row>
    <row r="1574" spans="1:12" x14ac:dyDescent="0.3">
      <c r="A1574" s="1">
        <v>46199</v>
      </c>
      <c r="B1574" t="s">
        <v>17</v>
      </c>
      <c r="C1574" t="s">
        <v>13</v>
      </c>
      <c r="D1574" t="s">
        <v>14</v>
      </c>
      <c r="E1574">
        <v>619</v>
      </c>
      <c r="F1574">
        <v>32</v>
      </c>
      <c r="G1574">
        <v>67</v>
      </c>
      <c r="H1574">
        <v>587</v>
      </c>
      <c r="I1574">
        <v>5.1696284329563813</v>
      </c>
      <c r="J1574">
        <v>94.830371567043613</v>
      </c>
      <c r="K1574" t="str">
        <f>_xlfn.XLOOKUP(tblProduction[[#This Row],[Product]],tblProducts[Product],tblProducts[Category],"Not Found")</f>
        <v>Assembly</v>
      </c>
      <c r="L1574">
        <f>_xlfn.XLOOKUP(tblProduction[[#This Row],[Product]],tblProducts[Product],tblProducts[Target_Units],"Not Found")</f>
        <v>850</v>
      </c>
    </row>
    <row r="1575" spans="1:12" x14ac:dyDescent="0.3">
      <c r="A1575" s="1">
        <v>46200</v>
      </c>
      <c r="B1575" t="s">
        <v>9</v>
      </c>
      <c r="C1575" t="s">
        <v>10</v>
      </c>
      <c r="D1575" t="s">
        <v>11</v>
      </c>
      <c r="E1575">
        <v>939</v>
      </c>
      <c r="F1575">
        <v>14</v>
      </c>
      <c r="G1575">
        <v>41</v>
      </c>
      <c r="H1575">
        <v>925</v>
      </c>
      <c r="I1575">
        <v>1.490947816826411</v>
      </c>
      <c r="J1575">
        <v>98.50905218317358</v>
      </c>
      <c r="K1575" t="str">
        <f>_xlfn.XLOOKUP(tblProduction[[#This Row],[Product]],tblProducts[Product],tblProducts[Category],"Not Found")</f>
        <v>Precision</v>
      </c>
      <c r="L1575">
        <f>_xlfn.XLOOKUP(tblProduction[[#This Row],[Product]],tblProducts[Product],tblProducts[Target_Units],"Not Found")</f>
        <v>950</v>
      </c>
    </row>
    <row r="1576" spans="1:12" x14ac:dyDescent="0.3">
      <c r="A1576" s="1">
        <v>46200</v>
      </c>
      <c r="B1576" t="s">
        <v>9</v>
      </c>
      <c r="C1576" t="s">
        <v>12</v>
      </c>
      <c r="D1576" t="s">
        <v>18</v>
      </c>
      <c r="E1576">
        <v>851</v>
      </c>
      <c r="F1576">
        <v>12</v>
      </c>
      <c r="G1576">
        <v>69</v>
      </c>
      <c r="H1576">
        <v>839</v>
      </c>
      <c r="I1576">
        <v>1.410105757931845</v>
      </c>
      <c r="J1576">
        <v>98.589894242068155</v>
      </c>
      <c r="K1576" t="str">
        <f>_xlfn.XLOOKUP(tblProduction[[#This Row],[Product]],tblProducts[Product],tblProducts[Category],"Not Found")</f>
        <v>Assembly</v>
      </c>
      <c r="L1576">
        <f>_xlfn.XLOOKUP(tblProduction[[#This Row],[Product]],tblProducts[Product],tblProducts[Target_Units],"Not Found")</f>
        <v>900</v>
      </c>
    </row>
    <row r="1577" spans="1:12" x14ac:dyDescent="0.3">
      <c r="A1577" s="1">
        <v>46200</v>
      </c>
      <c r="B1577" t="s">
        <v>9</v>
      </c>
      <c r="C1577" t="s">
        <v>13</v>
      </c>
      <c r="D1577" t="s">
        <v>11</v>
      </c>
      <c r="E1577">
        <v>821</v>
      </c>
      <c r="F1577">
        <v>20</v>
      </c>
      <c r="G1577">
        <v>57</v>
      </c>
      <c r="H1577">
        <v>801</v>
      </c>
      <c r="I1577">
        <v>2.4360535931790501</v>
      </c>
      <c r="J1577">
        <v>97.563946406820946</v>
      </c>
      <c r="K1577" t="str">
        <f>_xlfn.XLOOKUP(tblProduction[[#This Row],[Product]],tblProducts[Product],tblProducts[Category],"Not Found")</f>
        <v>Precision</v>
      </c>
      <c r="L1577">
        <f>_xlfn.XLOOKUP(tblProduction[[#This Row],[Product]],tblProducts[Product],tblProducts[Target_Units],"Not Found")</f>
        <v>950</v>
      </c>
    </row>
    <row r="1578" spans="1:12" x14ac:dyDescent="0.3">
      <c r="A1578" s="1">
        <v>46200</v>
      </c>
      <c r="B1578" t="s">
        <v>15</v>
      </c>
      <c r="C1578" t="s">
        <v>10</v>
      </c>
      <c r="D1578" t="s">
        <v>18</v>
      </c>
      <c r="E1578">
        <v>763</v>
      </c>
      <c r="F1578">
        <v>19</v>
      </c>
      <c r="G1578">
        <v>81</v>
      </c>
      <c r="H1578">
        <v>744</v>
      </c>
      <c r="I1578">
        <v>2.490170380078637</v>
      </c>
      <c r="J1578">
        <v>97.509829619921362</v>
      </c>
      <c r="K1578" t="str">
        <f>_xlfn.XLOOKUP(tblProduction[[#This Row],[Product]],tblProducts[Product],tblProducts[Category],"Not Found")</f>
        <v>Assembly</v>
      </c>
      <c r="L1578">
        <f>_xlfn.XLOOKUP(tblProduction[[#This Row],[Product]],tblProducts[Product],tblProducts[Target_Units],"Not Found")</f>
        <v>900</v>
      </c>
    </row>
    <row r="1579" spans="1:12" x14ac:dyDescent="0.3">
      <c r="A1579" s="1">
        <v>46200</v>
      </c>
      <c r="B1579" t="s">
        <v>15</v>
      </c>
      <c r="C1579" t="s">
        <v>12</v>
      </c>
      <c r="D1579" t="s">
        <v>14</v>
      </c>
      <c r="E1579">
        <v>764</v>
      </c>
      <c r="F1579">
        <v>25</v>
      </c>
      <c r="G1579">
        <v>25</v>
      </c>
      <c r="H1579">
        <v>739</v>
      </c>
      <c r="I1579">
        <v>3.2722513089005241</v>
      </c>
      <c r="J1579">
        <v>96.727748691099478</v>
      </c>
      <c r="K1579" t="str">
        <f>_xlfn.XLOOKUP(tblProduction[[#This Row],[Product]],tblProducts[Product],tblProducts[Category],"Not Found")</f>
        <v>Assembly</v>
      </c>
      <c r="L1579">
        <f>_xlfn.XLOOKUP(tblProduction[[#This Row],[Product]],tblProducts[Product],tblProducts[Target_Units],"Not Found")</f>
        <v>850</v>
      </c>
    </row>
    <row r="1580" spans="1:12" x14ac:dyDescent="0.3">
      <c r="A1580" s="1">
        <v>46200</v>
      </c>
      <c r="B1580" t="s">
        <v>15</v>
      </c>
      <c r="C1580" t="s">
        <v>13</v>
      </c>
      <c r="D1580" t="s">
        <v>14</v>
      </c>
      <c r="E1580">
        <v>696</v>
      </c>
      <c r="F1580">
        <v>29</v>
      </c>
      <c r="G1580">
        <v>48</v>
      </c>
      <c r="H1580">
        <v>667</v>
      </c>
      <c r="I1580">
        <v>4.1666666666666661</v>
      </c>
      <c r="J1580">
        <v>95.833333333333343</v>
      </c>
      <c r="K1580" t="str">
        <f>_xlfn.XLOOKUP(tblProduction[[#This Row],[Product]],tblProducts[Product],tblProducts[Category],"Not Found")</f>
        <v>Assembly</v>
      </c>
      <c r="L1580">
        <f>_xlfn.XLOOKUP(tblProduction[[#This Row],[Product]],tblProducts[Product],tblProducts[Target_Units],"Not Found")</f>
        <v>850</v>
      </c>
    </row>
    <row r="1581" spans="1:12" x14ac:dyDescent="0.3">
      <c r="A1581" s="1">
        <v>46200</v>
      </c>
      <c r="B1581" t="s">
        <v>17</v>
      </c>
      <c r="C1581" t="s">
        <v>10</v>
      </c>
      <c r="D1581" t="s">
        <v>11</v>
      </c>
      <c r="E1581">
        <v>779</v>
      </c>
      <c r="F1581">
        <v>27</v>
      </c>
      <c r="G1581">
        <v>51</v>
      </c>
      <c r="H1581">
        <v>752</v>
      </c>
      <c r="I1581">
        <v>3.4659820282413349</v>
      </c>
      <c r="J1581">
        <v>96.534017971758672</v>
      </c>
      <c r="K1581" t="str">
        <f>_xlfn.XLOOKUP(tblProduction[[#This Row],[Product]],tblProducts[Product],tblProducts[Category],"Not Found")</f>
        <v>Precision</v>
      </c>
      <c r="L1581">
        <f>_xlfn.XLOOKUP(tblProduction[[#This Row],[Product]],tblProducts[Product],tblProducts[Target_Units],"Not Found")</f>
        <v>950</v>
      </c>
    </row>
    <row r="1582" spans="1:12" x14ac:dyDescent="0.3">
      <c r="A1582" s="1">
        <v>46200</v>
      </c>
      <c r="B1582" t="s">
        <v>17</v>
      </c>
      <c r="C1582" t="s">
        <v>12</v>
      </c>
      <c r="D1582" t="s">
        <v>18</v>
      </c>
      <c r="E1582">
        <v>724</v>
      </c>
      <c r="F1582">
        <v>25</v>
      </c>
      <c r="G1582">
        <v>46</v>
      </c>
      <c r="H1582">
        <v>699</v>
      </c>
      <c r="I1582">
        <v>3.45303867403315</v>
      </c>
      <c r="J1582">
        <v>96.546961325966848</v>
      </c>
      <c r="K1582" t="str">
        <f>_xlfn.XLOOKUP(tblProduction[[#This Row],[Product]],tblProducts[Product],tblProducts[Category],"Not Found")</f>
        <v>Assembly</v>
      </c>
      <c r="L1582">
        <f>_xlfn.XLOOKUP(tblProduction[[#This Row],[Product]],tblProducts[Product],tblProducts[Target_Units],"Not Found")</f>
        <v>900</v>
      </c>
    </row>
    <row r="1583" spans="1:12" x14ac:dyDescent="0.3">
      <c r="A1583" s="1">
        <v>46200</v>
      </c>
      <c r="B1583" t="s">
        <v>17</v>
      </c>
      <c r="C1583" t="s">
        <v>13</v>
      </c>
      <c r="D1583" t="s">
        <v>14</v>
      </c>
      <c r="E1583">
        <v>644</v>
      </c>
      <c r="F1583">
        <v>34</v>
      </c>
      <c r="G1583">
        <v>39</v>
      </c>
      <c r="H1583">
        <v>610</v>
      </c>
      <c r="I1583">
        <v>5.2795031055900621</v>
      </c>
      <c r="J1583">
        <v>94.720496894409933</v>
      </c>
      <c r="K1583" t="str">
        <f>_xlfn.XLOOKUP(tblProduction[[#This Row],[Product]],tblProducts[Product],tblProducts[Category],"Not Found")</f>
        <v>Assembly</v>
      </c>
      <c r="L1583">
        <f>_xlfn.XLOOKUP(tblProduction[[#This Row],[Product]],tblProducts[Product],tblProducts[Target_Units],"Not Found")</f>
        <v>850</v>
      </c>
    </row>
    <row r="1584" spans="1:12" x14ac:dyDescent="0.3">
      <c r="A1584" s="1">
        <v>46201</v>
      </c>
      <c r="B1584" t="s">
        <v>9</v>
      </c>
      <c r="C1584" t="s">
        <v>10</v>
      </c>
      <c r="D1584" t="s">
        <v>11</v>
      </c>
      <c r="E1584">
        <v>952</v>
      </c>
      <c r="F1584">
        <v>14</v>
      </c>
      <c r="G1584">
        <v>38</v>
      </c>
      <c r="H1584">
        <v>938</v>
      </c>
      <c r="I1584">
        <v>1.470588235294118</v>
      </c>
      <c r="J1584">
        <v>98.529411764705884</v>
      </c>
      <c r="K1584" t="str">
        <f>_xlfn.XLOOKUP(tblProduction[[#This Row],[Product]],tblProducts[Product],tblProducts[Category],"Not Found")</f>
        <v>Precision</v>
      </c>
      <c r="L1584">
        <f>_xlfn.XLOOKUP(tblProduction[[#This Row],[Product]],tblProducts[Product],tblProducts[Target_Units],"Not Found")</f>
        <v>950</v>
      </c>
    </row>
    <row r="1585" spans="1:12" x14ac:dyDescent="0.3">
      <c r="A1585" s="1">
        <v>46201</v>
      </c>
      <c r="B1585" t="s">
        <v>9</v>
      </c>
      <c r="C1585" t="s">
        <v>12</v>
      </c>
      <c r="D1585" t="s">
        <v>18</v>
      </c>
      <c r="E1585">
        <v>849</v>
      </c>
      <c r="F1585">
        <v>12</v>
      </c>
      <c r="G1585">
        <v>41</v>
      </c>
      <c r="H1585">
        <v>837</v>
      </c>
      <c r="I1585">
        <v>1.4134275618374561</v>
      </c>
      <c r="J1585">
        <v>98.586572438162548</v>
      </c>
      <c r="K1585" t="str">
        <f>_xlfn.XLOOKUP(tblProduction[[#This Row],[Product]],tblProducts[Product],tblProducts[Category],"Not Found")</f>
        <v>Assembly</v>
      </c>
      <c r="L1585">
        <f>_xlfn.XLOOKUP(tblProduction[[#This Row],[Product]],tblProducts[Product],tblProducts[Target_Units],"Not Found")</f>
        <v>900</v>
      </c>
    </row>
    <row r="1586" spans="1:12" x14ac:dyDescent="0.3">
      <c r="A1586" s="1">
        <v>46201</v>
      </c>
      <c r="B1586" t="s">
        <v>9</v>
      </c>
      <c r="C1586" t="s">
        <v>13</v>
      </c>
      <c r="D1586" t="s">
        <v>11</v>
      </c>
      <c r="E1586">
        <v>832</v>
      </c>
      <c r="F1586">
        <v>20</v>
      </c>
      <c r="G1586">
        <v>68</v>
      </c>
      <c r="H1586">
        <v>812</v>
      </c>
      <c r="I1586">
        <v>2.4038461538461542</v>
      </c>
      <c r="J1586">
        <v>97.59615384615384</v>
      </c>
      <c r="K1586" t="str">
        <f>_xlfn.XLOOKUP(tblProduction[[#This Row],[Product]],tblProducts[Product],tblProducts[Category],"Not Found")</f>
        <v>Precision</v>
      </c>
      <c r="L1586">
        <f>_xlfn.XLOOKUP(tblProduction[[#This Row],[Product]],tblProducts[Product],tblProducts[Target_Units],"Not Found")</f>
        <v>950</v>
      </c>
    </row>
    <row r="1587" spans="1:12" x14ac:dyDescent="0.3">
      <c r="A1587" s="1">
        <v>46201</v>
      </c>
      <c r="B1587" t="s">
        <v>15</v>
      </c>
      <c r="C1587" t="s">
        <v>10</v>
      </c>
      <c r="D1587" t="s">
        <v>18</v>
      </c>
      <c r="E1587">
        <v>760</v>
      </c>
      <c r="F1587">
        <v>19</v>
      </c>
      <c r="G1587">
        <v>71</v>
      </c>
      <c r="H1587">
        <v>741</v>
      </c>
      <c r="I1587">
        <v>2.5</v>
      </c>
      <c r="J1587">
        <v>97.5</v>
      </c>
      <c r="K1587" t="str">
        <f>_xlfn.XLOOKUP(tblProduction[[#This Row],[Product]],tblProducts[Product],tblProducts[Category],"Not Found")</f>
        <v>Assembly</v>
      </c>
      <c r="L1587">
        <f>_xlfn.XLOOKUP(tblProduction[[#This Row],[Product]],tblProducts[Product],tblProducts[Target_Units],"Not Found")</f>
        <v>900</v>
      </c>
    </row>
    <row r="1588" spans="1:12" x14ac:dyDescent="0.3">
      <c r="A1588" s="1">
        <v>46201</v>
      </c>
      <c r="B1588" t="s">
        <v>15</v>
      </c>
      <c r="C1588" t="s">
        <v>12</v>
      </c>
      <c r="D1588" t="s">
        <v>11</v>
      </c>
      <c r="E1588">
        <v>866</v>
      </c>
      <c r="F1588">
        <v>21</v>
      </c>
      <c r="G1588">
        <v>43</v>
      </c>
      <c r="H1588">
        <v>845</v>
      </c>
      <c r="I1588">
        <v>2.424942263279446</v>
      </c>
      <c r="J1588">
        <v>97.575057736720552</v>
      </c>
      <c r="K1588" t="str">
        <f>_xlfn.XLOOKUP(tblProduction[[#This Row],[Product]],tblProducts[Product],tblProducts[Category],"Not Found")</f>
        <v>Precision</v>
      </c>
      <c r="L1588">
        <f>_xlfn.XLOOKUP(tblProduction[[#This Row],[Product]],tblProducts[Product],tblProducts[Target_Units],"Not Found")</f>
        <v>950</v>
      </c>
    </row>
    <row r="1589" spans="1:12" x14ac:dyDescent="0.3">
      <c r="A1589" s="1">
        <v>46201</v>
      </c>
      <c r="B1589" t="s">
        <v>15</v>
      </c>
      <c r="C1589" t="s">
        <v>13</v>
      </c>
      <c r="D1589" t="s">
        <v>11</v>
      </c>
      <c r="E1589">
        <v>728</v>
      </c>
      <c r="F1589">
        <v>25</v>
      </c>
      <c r="G1589">
        <v>64</v>
      </c>
      <c r="H1589">
        <v>703</v>
      </c>
      <c r="I1589">
        <v>3.4340659340659339</v>
      </c>
      <c r="J1589">
        <v>96.565934065934073</v>
      </c>
      <c r="K1589" t="str">
        <f>_xlfn.XLOOKUP(tblProduction[[#This Row],[Product]],tblProducts[Product],tblProducts[Category],"Not Found")</f>
        <v>Precision</v>
      </c>
      <c r="L1589">
        <f>_xlfn.XLOOKUP(tblProduction[[#This Row],[Product]],tblProducts[Product],tblProducts[Target_Units],"Not Found")</f>
        <v>950</v>
      </c>
    </row>
    <row r="1590" spans="1:12" x14ac:dyDescent="0.3">
      <c r="A1590" s="1">
        <v>46201</v>
      </c>
      <c r="B1590" t="s">
        <v>17</v>
      </c>
      <c r="C1590" t="s">
        <v>10</v>
      </c>
      <c r="D1590" t="s">
        <v>16</v>
      </c>
      <c r="E1590">
        <v>799</v>
      </c>
      <c r="F1590">
        <v>27</v>
      </c>
      <c r="G1590">
        <v>40</v>
      </c>
      <c r="H1590">
        <v>772</v>
      </c>
      <c r="I1590">
        <v>3.3792240300375469</v>
      </c>
      <c r="J1590">
        <v>96.620775969962452</v>
      </c>
      <c r="K1590" t="str">
        <f>_xlfn.XLOOKUP(tblProduction[[#This Row],[Product]],tblProducts[Product],tblProducts[Category],"Not Found")</f>
        <v>Standard</v>
      </c>
      <c r="L1590">
        <f>_xlfn.XLOOKUP(tblProduction[[#This Row],[Product]],tblProducts[Product],tblProducts[Target_Units],"Not Found")</f>
        <v>1000</v>
      </c>
    </row>
    <row r="1591" spans="1:12" x14ac:dyDescent="0.3">
      <c r="A1591" s="1">
        <v>46201</v>
      </c>
      <c r="B1591" t="s">
        <v>17</v>
      </c>
      <c r="C1591" t="s">
        <v>12</v>
      </c>
      <c r="D1591" t="s">
        <v>16</v>
      </c>
      <c r="E1591">
        <v>731</v>
      </c>
      <c r="F1591">
        <v>25</v>
      </c>
      <c r="G1591">
        <v>87</v>
      </c>
      <c r="H1591">
        <v>706</v>
      </c>
      <c r="I1591">
        <v>3.4199726402188779</v>
      </c>
      <c r="J1591">
        <v>96.580027359781113</v>
      </c>
      <c r="K1591" t="str">
        <f>_xlfn.XLOOKUP(tblProduction[[#This Row],[Product]],tblProducts[Product],tblProducts[Category],"Not Found")</f>
        <v>Standard</v>
      </c>
      <c r="L1591">
        <f>_xlfn.XLOOKUP(tblProduction[[#This Row],[Product]],tblProducts[Product],tblProducts[Target_Units],"Not Found")</f>
        <v>1000</v>
      </c>
    </row>
    <row r="1592" spans="1:12" x14ac:dyDescent="0.3">
      <c r="A1592" s="1">
        <v>46201</v>
      </c>
      <c r="B1592" t="s">
        <v>17</v>
      </c>
      <c r="C1592" t="s">
        <v>13</v>
      </c>
      <c r="D1592" t="s">
        <v>14</v>
      </c>
      <c r="E1592">
        <v>574</v>
      </c>
      <c r="F1592">
        <v>30</v>
      </c>
      <c r="G1592">
        <v>87</v>
      </c>
      <c r="H1592">
        <v>544</v>
      </c>
      <c r="I1592">
        <v>5.2264808362369326</v>
      </c>
      <c r="J1592">
        <v>94.773519163763069</v>
      </c>
      <c r="K1592" t="str">
        <f>_xlfn.XLOOKUP(tblProduction[[#This Row],[Product]],tblProducts[Product],tblProducts[Category],"Not Found")</f>
        <v>Assembly</v>
      </c>
      <c r="L1592">
        <f>_xlfn.XLOOKUP(tblProduction[[#This Row],[Product]],tblProducts[Product],tblProducts[Target_Units],"Not Found")</f>
        <v>850</v>
      </c>
    </row>
    <row r="1593" spans="1:12" x14ac:dyDescent="0.3">
      <c r="A1593" s="1">
        <v>46202</v>
      </c>
      <c r="B1593" t="s">
        <v>9</v>
      </c>
      <c r="C1593" t="s">
        <v>10</v>
      </c>
      <c r="D1593" t="s">
        <v>16</v>
      </c>
      <c r="E1593">
        <v>927</v>
      </c>
      <c r="F1593">
        <v>13</v>
      </c>
      <c r="G1593">
        <v>78</v>
      </c>
      <c r="H1593">
        <v>914</v>
      </c>
      <c r="I1593">
        <v>1.4023732470334409</v>
      </c>
      <c r="J1593">
        <v>98.597626752966562</v>
      </c>
      <c r="K1593" t="str">
        <f>_xlfn.XLOOKUP(tblProduction[[#This Row],[Product]],tblProducts[Product],tblProducts[Category],"Not Found")</f>
        <v>Standard</v>
      </c>
      <c r="L1593">
        <f>_xlfn.XLOOKUP(tblProduction[[#This Row],[Product]],tblProducts[Product],tblProducts[Target_Units],"Not Found")</f>
        <v>1000</v>
      </c>
    </row>
    <row r="1594" spans="1:12" x14ac:dyDescent="0.3">
      <c r="A1594" s="1">
        <v>46202</v>
      </c>
      <c r="B1594" t="s">
        <v>9</v>
      </c>
      <c r="C1594" t="s">
        <v>12</v>
      </c>
      <c r="D1594" t="s">
        <v>11</v>
      </c>
      <c r="E1594">
        <v>861</v>
      </c>
      <c r="F1594">
        <v>12</v>
      </c>
      <c r="G1594">
        <v>66</v>
      </c>
      <c r="H1594">
        <v>849</v>
      </c>
      <c r="I1594">
        <v>1.393728222996516</v>
      </c>
      <c r="J1594">
        <v>98.606271777003485</v>
      </c>
      <c r="K1594" t="str">
        <f>_xlfn.XLOOKUP(tblProduction[[#This Row],[Product]],tblProducts[Product],tblProducts[Category],"Not Found")</f>
        <v>Precision</v>
      </c>
      <c r="L1594">
        <f>_xlfn.XLOOKUP(tblProduction[[#This Row],[Product]],tblProducts[Product],tblProducts[Target_Units],"Not Found")</f>
        <v>950</v>
      </c>
    </row>
    <row r="1595" spans="1:12" x14ac:dyDescent="0.3">
      <c r="A1595" s="1">
        <v>46202</v>
      </c>
      <c r="B1595" t="s">
        <v>9</v>
      </c>
      <c r="C1595" t="s">
        <v>13</v>
      </c>
      <c r="D1595" t="s">
        <v>11</v>
      </c>
      <c r="E1595">
        <v>950</v>
      </c>
      <c r="F1595">
        <v>23</v>
      </c>
      <c r="G1595">
        <v>7</v>
      </c>
      <c r="H1595">
        <v>927</v>
      </c>
      <c r="I1595">
        <v>2.4210526315789469</v>
      </c>
      <c r="J1595">
        <v>97.578947368421055</v>
      </c>
      <c r="K1595" t="str">
        <f>_xlfn.XLOOKUP(tblProduction[[#This Row],[Product]],tblProducts[Product],tblProducts[Category],"Not Found")</f>
        <v>Precision</v>
      </c>
      <c r="L1595">
        <f>_xlfn.XLOOKUP(tblProduction[[#This Row],[Product]],tblProducts[Product],tblProducts[Target_Units],"Not Found")</f>
        <v>950</v>
      </c>
    </row>
    <row r="1596" spans="1:12" x14ac:dyDescent="0.3">
      <c r="A1596" s="1">
        <v>46202</v>
      </c>
      <c r="B1596" t="s">
        <v>15</v>
      </c>
      <c r="C1596" t="s">
        <v>10</v>
      </c>
      <c r="D1596" t="s">
        <v>11</v>
      </c>
      <c r="E1596">
        <v>818</v>
      </c>
      <c r="F1596">
        <v>20</v>
      </c>
      <c r="G1596">
        <v>69</v>
      </c>
      <c r="H1596">
        <v>798</v>
      </c>
      <c r="I1596">
        <v>2.4449877750611249</v>
      </c>
      <c r="J1596">
        <v>97.555012224938878</v>
      </c>
      <c r="K1596" t="str">
        <f>_xlfn.XLOOKUP(tblProduction[[#This Row],[Product]],tblProducts[Product],tblProducts[Category],"Not Found")</f>
        <v>Precision</v>
      </c>
      <c r="L1596">
        <f>_xlfn.XLOOKUP(tblProduction[[#This Row],[Product]],tblProducts[Product],tblProducts[Target_Units],"Not Found")</f>
        <v>950</v>
      </c>
    </row>
    <row r="1597" spans="1:12" x14ac:dyDescent="0.3">
      <c r="A1597" s="1">
        <v>46202</v>
      </c>
      <c r="B1597" t="s">
        <v>15</v>
      </c>
      <c r="C1597" t="s">
        <v>12</v>
      </c>
      <c r="D1597" t="s">
        <v>18</v>
      </c>
      <c r="E1597">
        <v>827</v>
      </c>
      <c r="F1597">
        <v>20</v>
      </c>
      <c r="G1597">
        <v>3</v>
      </c>
      <c r="H1597">
        <v>807</v>
      </c>
      <c r="I1597">
        <v>2.418379685610641</v>
      </c>
      <c r="J1597">
        <v>97.581620314389355</v>
      </c>
      <c r="K1597" t="str">
        <f>_xlfn.XLOOKUP(tblProduction[[#This Row],[Product]],tblProducts[Product],tblProducts[Category],"Not Found")</f>
        <v>Assembly</v>
      </c>
      <c r="L1597">
        <f>_xlfn.XLOOKUP(tblProduction[[#This Row],[Product]],tblProducts[Product],tblProducts[Target_Units],"Not Found")</f>
        <v>900</v>
      </c>
    </row>
    <row r="1598" spans="1:12" x14ac:dyDescent="0.3">
      <c r="A1598" s="1">
        <v>46202</v>
      </c>
      <c r="B1598" t="s">
        <v>15</v>
      </c>
      <c r="C1598" t="s">
        <v>13</v>
      </c>
      <c r="D1598" t="s">
        <v>14</v>
      </c>
      <c r="E1598">
        <v>687</v>
      </c>
      <c r="F1598">
        <v>29</v>
      </c>
      <c r="G1598">
        <v>58</v>
      </c>
      <c r="H1598">
        <v>658</v>
      </c>
      <c r="I1598">
        <v>4.2212518195050954</v>
      </c>
      <c r="J1598">
        <v>95.778748180494915</v>
      </c>
      <c r="K1598" t="str">
        <f>_xlfn.XLOOKUP(tblProduction[[#This Row],[Product]],tblProducts[Product],tblProducts[Category],"Not Found")</f>
        <v>Assembly</v>
      </c>
      <c r="L1598">
        <f>_xlfn.XLOOKUP(tblProduction[[#This Row],[Product]],tblProducts[Product],tblProducts[Target_Units],"Not Found")</f>
        <v>850</v>
      </c>
    </row>
    <row r="1599" spans="1:12" x14ac:dyDescent="0.3">
      <c r="A1599" s="1">
        <v>46202</v>
      </c>
      <c r="B1599" t="s">
        <v>17</v>
      </c>
      <c r="C1599" t="s">
        <v>10</v>
      </c>
      <c r="D1599" t="s">
        <v>14</v>
      </c>
      <c r="E1599">
        <v>754</v>
      </c>
      <c r="F1599">
        <v>32</v>
      </c>
      <c r="G1599">
        <v>29</v>
      </c>
      <c r="H1599">
        <v>722</v>
      </c>
      <c r="I1599">
        <v>4.2440318302387263</v>
      </c>
      <c r="J1599">
        <v>95.755968169761275</v>
      </c>
      <c r="K1599" t="str">
        <f>_xlfn.XLOOKUP(tblProduction[[#This Row],[Product]],tblProducts[Product],tblProducts[Category],"Not Found")</f>
        <v>Assembly</v>
      </c>
      <c r="L1599">
        <f>_xlfn.XLOOKUP(tblProduction[[#This Row],[Product]],tblProducts[Product],tblProducts[Target_Units],"Not Found")</f>
        <v>850</v>
      </c>
    </row>
    <row r="1600" spans="1:12" x14ac:dyDescent="0.3">
      <c r="A1600" s="1">
        <v>46202</v>
      </c>
      <c r="B1600" t="s">
        <v>17</v>
      </c>
      <c r="C1600" t="s">
        <v>12</v>
      </c>
      <c r="D1600" t="s">
        <v>11</v>
      </c>
      <c r="E1600">
        <v>819</v>
      </c>
      <c r="F1600">
        <v>28</v>
      </c>
      <c r="G1600">
        <v>3</v>
      </c>
      <c r="H1600">
        <v>791</v>
      </c>
      <c r="I1600">
        <v>3.4188034188034191</v>
      </c>
      <c r="J1600">
        <v>96.581196581196579</v>
      </c>
      <c r="K1600" t="str">
        <f>_xlfn.XLOOKUP(tblProduction[[#This Row],[Product]],tblProducts[Product],tblProducts[Category],"Not Found")</f>
        <v>Precision</v>
      </c>
      <c r="L1600">
        <f>_xlfn.XLOOKUP(tblProduction[[#This Row],[Product]],tblProducts[Product],tblProducts[Target_Units],"Not Found")</f>
        <v>950</v>
      </c>
    </row>
    <row r="1601" spans="1:12" x14ac:dyDescent="0.3">
      <c r="A1601" s="1">
        <v>46202</v>
      </c>
      <c r="B1601" t="s">
        <v>17</v>
      </c>
      <c r="C1601" t="s">
        <v>13</v>
      </c>
      <c r="D1601" t="s">
        <v>16</v>
      </c>
      <c r="E1601">
        <v>735</v>
      </c>
      <c r="F1601">
        <v>33</v>
      </c>
      <c r="G1601">
        <v>46</v>
      </c>
      <c r="H1601">
        <v>702</v>
      </c>
      <c r="I1601">
        <v>4.4897959183673466</v>
      </c>
      <c r="J1601">
        <v>95.510204081632651</v>
      </c>
      <c r="K1601" t="str">
        <f>_xlfn.XLOOKUP(tblProduction[[#This Row],[Product]],tblProducts[Product],tblProducts[Category],"Not Found")</f>
        <v>Standard</v>
      </c>
      <c r="L1601">
        <f>_xlfn.XLOOKUP(tblProduction[[#This Row],[Product]],tblProducts[Product],tblProducts[Target_Units],"Not Found")</f>
        <v>1000</v>
      </c>
    </row>
    <row r="1602" spans="1:12" x14ac:dyDescent="0.3">
      <c r="A1602" s="1">
        <v>46203</v>
      </c>
      <c r="B1602" t="s">
        <v>9</v>
      </c>
      <c r="C1602" t="s">
        <v>10</v>
      </c>
      <c r="D1602" t="s">
        <v>14</v>
      </c>
      <c r="E1602">
        <v>868</v>
      </c>
      <c r="F1602">
        <v>19</v>
      </c>
      <c r="G1602">
        <v>64</v>
      </c>
      <c r="H1602">
        <v>849</v>
      </c>
      <c r="I1602">
        <v>2.188940092165899</v>
      </c>
      <c r="J1602">
        <v>97.811059907834093</v>
      </c>
      <c r="K1602" t="str">
        <f>_xlfn.XLOOKUP(tblProduction[[#This Row],[Product]],tblProducts[Product],tblProducts[Category],"Not Found")</f>
        <v>Assembly</v>
      </c>
      <c r="L1602">
        <f>_xlfn.XLOOKUP(tblProduction[[#This Row],[Product]],tblProducts[Product],tblProducts[Target_Units],"Not Found")</f>
        <v>850</v>
      </c>
    </row>
    <row r="1603" spans="1:12" x14ac:dyDescent="0.3">
      <c r="A1603" s="1">
        <v>46203</v>
      </c>
      <c r="B1603" t="s">
        <v>9</v>
      </c>
      <c r="C1603" t="s">
        <v>12</v>
      </c>
      <c r="D1603" t="s">
        <v>14</v>
      </c>
      <c r="E1603">
        <v>806</v>
      </c>
      <c r="F1603">
        <v>18</v>
      </c>
      <c r="G1603">
        <v>61</v>
      </c>
      <c r="H1603">
        <v>788</v>
      </c>
      <c r="I1603">
        <v>2.2332506203473939</v>
      </c>
      <c r="J1603">
        <v>97.766749379652609</v>
      </c>
      <c r="K1603" t="str">
        <f>_xlfn.XLOOKUP(tblProduction[[#This Row],[Product]],tblProducts[Product],tblProducts[Category],"Not Found")</f>
        <v>Assembly</v>
      </c>
      <c r="L1603">
        <f>_xlfn.XLOOKUP(tblProduction[[#This Row],[Product]],tblProducts[Product],tblProducts[Target_Units],"Not Found")</f>
        <v>850</v>
      </c>
    </row>
    <row r="1604" spans="1:12" x14ac:dyDescent="0.3">
      <c r="A1604" s="1">
        <v>46203</v>
      </c>
      <c r="B1604" t="s">
        <v>9</v>
      </c>
      <c r="C1604" t="s">
        <v>13</v>
      </c>
      <c r="D1604" t="s">
        <v>11</v>
      </c>
      <c r="E1604">
        <v>838</v>
      </c>
      <c r="F1604">
        <v>20</v>
      </c>
      <c r="G1604">
        <v>54</v>
      </c>
      <c r="H1604">
        <v>818</v>
      </c>
      <c r="I1604">
        <v>2.3866348448687349</v>
      </c>
      <c r="J1604">
        <v>97.613365155131262</v>
      </c>
      <c r="K1604" t="str">
        <f>_xlfn.XLOOKUP(tblProduction[[#This Row],[Product]],tblProducts[Product],tblProducts[Category],"Not Found")</f>
        <v>Precision</v>
      </c>
      <c r="L1604">
        <f>_xlfn.XLOOKUP(tblProduction[[#This Row],[Product]],tblProducts[Product],tblProducts[Target_Units],"Not Found")</f>
        <v>950</v>
      </c>
    </row>
    <row r="1605" spans="1:12" x14ac:dyDescent="0.3">
      <c r="A1605" s="1">
        <v>46203</v>
      </c>
      <c r="B1605" t="s">
        <v>15</v>
      </c>
      <c r="C1605" t="s">
        <v>10</v>
      </c>
      <c r="D1605" t="s">
        <v>16</v>
      </c>
      <c r="E1605">
        <v>896</v>
      </c>
      <c r="F1605">
        <v>22</v>
      </c>
      <c r="G1605">
        <v>56</v>
      </c>
      <c r="H1605">
        <v>874</v>
      </c>
      <c r="I1605">
        <v>2.4553571428571428</v>
      </c>
      <c r="J1605">
        <v>97.544642857142861</v>
      </c>
      <c r="K1605" t="str">
        <f>_xlfn.XLOOKUP(tblProduction[[#This Row],[Product]],tblProducts[Product],tblProducts[Category],"Not Found")</f>
        <v>Standard</v>
      </c>
      <c r="L1605">
        <f>_xlfn.XLOOKUP(tblProduction[[#This Row],[Product]],tblProducts[Product],tblProducts[Target_Units],"Not Found")</f>
        <v>1000</v>
      </c>
    </row>
    <row r="1606" spans="1:12" x14ac:dyDescent="0.3">
      <c r="A1606" s="1">
        <v>46203</v>
      </c>
      <c r="B1606" t="s">
        <v>15</v>
      </c>
      <c r="C1606" t="s">
        <v>12</v>
      </c>
      <c r="D1606" t="s">
        <v>18</v>
      </c>
      <c r="E1606">
        <v>808</v>
      </c>
      <c r="F1606">
        <v>20</v>
      </c>
      <c r="G1606">
        <v>57</v>
      </c>
      <c r="H1606">
        <v>788</v>
      </c>
      <c r="I1606">
        <v>2.4752475247524748</v>
      </c>
      <c r="J1606">
        <v>97.524752475247524</v>
      </c>
      <c r="K1606" t="str">
        <f>_xlfn.XLOOKUP(tblProduction[[#This Row],[Product]],tblProducts[Product],tblProducts[Category],"Not Found")</f>
        <v>Assembly</v>
      </c>
      <c r="L1606">
        <f>_xlfn.XLOOKUP(tblProduction[[#This Row],[Product]],tblProducts[Product],tblProducts[Target_Units],"Not Found")</f>
        <v>900</v>
      </c>
    </row>
    <row r="1607" spans="1:12" x14ac:dyDescent="0.3">
      <c r="A1607" s="1">
        <v>46203</v>
      </c>
      <c r="B1607" t="s">
        <v>15</v>
      </c>
      <c r="C1607" t="s">
        <v>13</v>
      </c>
      <c r="D1607" t="s">
        <v>14</v>
      </c>
      <c r="E1607">
        <v>721</v>
      </c>
      <c r="F1607">
        <v>31</v>
      </c>
      <c r="G1607">
        <v>20</v>
      </c>
      <c r="H1607">
        <v>690</v>
      </c>
      <c r="I1607">
        <v>4.2995839112343974</v>
      </c>
      <c r="J1607">
        <v>95.700416088765607</v>
      </c>
      <c r="K1607" t="str">
        <f>_xlfn.XLOOKUP(tblProduction[[#This Row],[Product]],tblProducts[Product],tblProducts[Category],"Not Found")</f>
        <v>Assembly</v>
      </c>
      <c r="L1607">
        <f>_xlfn.XLOOKUP(tblProduction[[#This Row],[Product]],tblProducts[Product],tblProducts[Target_Units],"Not Found")</f>
        <v>850</v>
      </c>
    </row>
    <row r="1608" spans="1:12" x14ac:dyDescent="0.3">
      <c r="A1608" s="1">
        <v>46203</v>
      </c>
      <c r="B1608" t="s">
        <v>17</v>
      </c>
      <c r="C1608" t="s">
        <v>10</v>
      </c>
      <c r="D1608" t="s">
        <v>11</v>
      </c>
      <c r="E1608">
        <v>754</v>
      </c>
      <c r="F1608">
        <v>26</v>
      </c>
      <c r="G1608">
        <v>57</v>
      </c>
      <c r="H1608">
        <v>728</v>
      </c>
      <c r="I1608">
        <v>3.4482758620689649</v>
      </c>
      <c r="J1608">
        <v>96.551724137931032</v>
      </c>
      <c r="K1608" t="str">
        <f>_xlfn.XLOOKUP(tblProduction[[#This Row],[Product]],tblProducts[Product],tblProducts[Category],"Not Found")</f>
        <v>Precision</v>
      </c>
      <c r="L1608">
        <f>_xlfn.XLOOKUP(tblProduction[[#This Row],[Product]],tblProducts[Product],tblProducts[Target_Units],"Not Found")</f>
        <v>950</v>
      </c>
    </row>
    <row r="1609" spans="1:12" x14ac:dyDescent="0.3">
      <c r="A1609" s="1">
        <v>46203</v>
      </c>
      <c r="B1609" t="s">
        <v>17</v>
      </c>
      <c r="C1609" t="s">
        <v>12</v>
      </c>
      <c r="D1609" t="s">
        <v>16</v>
      </c>
      <c r="E1609">
        <v>819</v>
      </c>
      <c r="F1609">
        <v>28</v>
      </c>
      <c r="G1609">
        <v>30</v>
      </c>
      <c r="H1609">
        <v>791</v>
      </c>
      <c r="I1609">
        <v>3.4188034188034191</v>
      </c>
      <c r="J1609">
        <v>96.581196581196579</v>
      </c>
      <c r="K1609" t="str">
        <f>_xlfn.XLOOKUP(tblProduction[[#This Row],[Product]],tblProducts[Product],tblProducts[Category],"Not Found")</f>
        <v>Standard</v>
      </c>
      <c r="L1609">
        <f>_xlfn.XLOOKUP(tblProduction[[#This Row],[Product]],tblProducts[Product],tblProducts[Target_Units],"Not Found")</f>
        <v>1000</v>
      </c>
    </row>
    <row r="1610" spans="1:12" x14ac:dyDescent="0.3">
      <c r="A1610" s="1">
        <v>46203</v>
      </c>
      <c r="B1610" t="s">
        <v>17</v>
      </c>
      <c r="C1610" t="s">
        <v>13</v>
      </c>
      <c r="D1610" t="s">
        <v>18</v>
      </c>
      <c r="E1610">
        <v>588</v>
      </c>
      <c r="F1610">
        <v>26</v>
      </c>
      <c r="G1610">
        <v>87</v>
      </c>
      <c r="H1610">
        <v>562</v>
      </c>
      <c r="I1610">
        <v>4.4217687074829932</v>
      </c>
      <c r="J1610">
        <v>95.578231292517003</v>
      </c>
      <c r="K1610" t="str">
        <f>_xlfn.XLOOKUP(tblProduction[[#This Row],[Product]],tblProducts[Product],tblProducts[Category],"Not Found")</f>
        <v>Assembly</v>
      </c>
      <c r="L1610">
        <f>_xlfn.XLOOKUP(tblProduction[[#This Row],[Product]],tblProducts[Product],tblProducts[Target_Units],"Not Found")</f>
        <v>900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12100-70DB-4A9D-B482-32BC1162F2AA}">
  <dimension ref="A1:E4"/>
  <sheetViews>
    <sheetView workbookViewId="0">
      <selection activeCell="B27" sqref="B27"/>
    </sheetView>
  </sheetViews>
  <sheetFormatPr defaultRowHeight="14.4" x14ac:dyDescent="0.3"/>
  <cols>
    <col min="1" max="1" width="13.77734375" bestFit="1" customWidth="1"/>
    <col min="2" max="2" width="14.6640625" bestFit="1" customWidth="1"/>
    <col min="3" max="3" width="11.88671875" bestFit="1" customWidth="1"/>
    <col min="4" max="4" width="14.21875" bestFit="1" customWidth="1"/>
    <col min="5" max="5" width="10.6640625" bestFit="1" customWidth="1"/>
  </cols>
  <sheetData>
    <row r="1" spans="1:5" x14ac:dyDescent="0.3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</row>
    <row r="2" spans="1:5" x14ac:dyDescent="0.3">
      <c r="A2" t="s">
        <v>9</v>
      </c>
      <c r="B2">
        <f>SUMIFS(tblProduction[Produced_Units], tblProduction[Line], A2)</f>
        <v>485490</v>
      </c>
      <c r="C2">
        <f>SUMIFS(tblProduction[Defect_Count], tblProduction[Line], 'Line Analysis'!A2)</f>
        <v>9469</v>
      </c>
      <c r="D2">
        <f>SUMIFS(tblProduction[Downtime_Minutes], tblProduction[Line],'Line Analysis'!A2)</f>
        <v>24721</v>
      </c>
      <c r="E2" s="3">
        <f>IFERROR(C2/B2, 0)</f>
        <v>1.950400626171497E-2</v>
      </c>
    </row>
    <row r="3" spans="1:5" x14ac:dyDescent="0.3">
      <c r="A3" t="s">
        <v>15</v>
      </c>
      <c r="B3">
        <f>SUMIFS(tblProduction[Produced_Units], tblProduction[Line], A3)</f>
        <v>428180</v>
      </c>
      <c r="C3">
        <f>SUMIFS(tblProduction[Defect_Count], tblProduction[Line], 'Line Analysis'!A3)</f>
        <v>12519</v>
      </c>
      <c r="D3">
        <f>SUMIFS(tblProduction[Downtime_Minutes], tblProduction[Line],'Line Analysis'!A3)</f>
        <v>25017</v>
      </c>
      <c r="E3" s="3">
        <f t="shared" ref="E3:E4" si="0">IFERROR(C3/B3, 0)</f>
        <v>2.9237703769442756E-2</v>
      </c>
    </row>
    <row r="4" spans="1:5" x14ac:dyDescent="0.3">
      <c r="A4" t="s">
        <v>17</v>
      </c>
      <c r="B4">
        <f>SUMIFS(tblProduction[Produced_Units], tblProduction[Line], A4)</f>
        <v>386422</v>
      </c>
      <c r="C4">
        <f>SUMIFS(tblProduction[Defect_Count], tblProduction[Line], 'Line Analysis'!A4)</f>
        <v>15154</v>
      </c>
      <c r="D4">
        <f>SUMIFS(tblProduction[Downtime_Minutes], tblProduction[Line],'Line Analysis'!A4)</f>
        <v>23229</v>
      </c>
      <c r="E4" s="3">
        <f t="shared" si="0"/>
        <v>3.9216193694975962E-2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745BE-DB8D-4F1E-996F-9ABA91723AA1}">
  <dimension ref="A3:F8"/>
  <sheetViews>
    <sheetView workbookViewId="0">
      <selection activeCell="E19" sqref="E19"/>
    </sheetView>
  </sheetViews>
  <sheetFormatPr defaultRowHeight="14.4" x14ac:dyDescent="0.3"/>
  <cols>
    <col min="1" max="1" width="21.109375" bestFit="1" customWidth="1"/>
    <col min="2" max="2" width="15.5546875" bestFit="1" customWidth="1"/>
    <col min="3" max="5" width="7" bestFit="1" customWidth="1"/>
    <col min="6" max="6" width="10.77734375" bestFit="1" customWidth="1"/>
  </cols>
  <sheetData>
    <row r="3" spans="1:6" x14ac:dyDescent="0.3">
      <c r="A3" s="4" t="s">
        <v>27</v>
      </c>
      <c r="B3" s="4" t="s">
        <v>28</v>
      </c>
    </row>
    <row r="4" spans="1:6" x14ac:dyDescent="0.3">
      <c r="A4" s="4" t="s">
        <v>25</v>
      </c>
      <c r="B4" t="s">
        <v>16</v>
      </c>
      <c r="C4" t="s">
        <v>11</v>
      </c>
      <c r="D4" t="s">
        <v>18</v>
      </c>
      <c r="E4" t="s">
        <v>14</v>
      </c>
      <c r="F4" t="s">
        <v>26</v>
      </c>
    </row>
    <row r="5" spans="1:6" x14ac:dyDescent="0.3">
      <c r="A5" s="5" t="s">
        <v>10</v>
      </c>
      <c r="B5" s="6">
        <v>139545</v>
      </c>
      <c r="C5" s="6">
        <v>122869</v>
      </c>
      <c r="D5" s="6">
        <v>104075</v>
      </c>
      <c r="E5" s="6">
        <v>97115</v>
      </c>
      <c r="F5" s="6">
        <v>463604</v>
      </c>
    </row>
    <row r="6" spans="1:6" x14ac:dyDescent="0.3">
      <c r="A6" s="5" t="s">
        <v>12</v>
      </c>
      <c r="B6" s="6">
        <v>109138</v>
      </c>
      <c r="C6" s="6">
        <v>105348</v>
      </c>
      <c r="D6" s="6">
        <v>111905</v>
      </c>
      <c r="E6" s="6">
        <v>108087</v>
      </c>
      <c r="F6" s="6">
        <v>434478</v>
      </c>
    </row>
    <row r="7" spans="1:6" x14ac:dyDescent="0.3">
      <c r="A7" s="5" t="s">
        <v>13</v>
      </c>
      <c r="B7" s="6">
        <v>106044</v>
      </c>
      <c r="C7" s="6">
        <v>113927</v>
      </c>
      <c r="D7" s="6">
        <v>93891</v>
      </c>
      <c r="E7" s="6">
        <v>88148</v>
      </c>
      <c r="F7" s="6">
        <v>402010</v>
      </c>
    </row>
    <row r="8" spans="1:6" x14ac:dyDescent="0.3">
      <c r="A8" s="5" t="s">
        <v>26</v>
      </c>
      <c r="B8" s="6">
        <v>354727</v>
      </c>
      <c r="C8" s="6">
        <v>342144</v>
      </c>
      <c r="D8" s="6">
        <v>309871</v>
      </c>
      <c r="E8" s="6">
        <v>293350</v>
      </c>
      <c r="F8" s="6">
        <v>1300092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0E17C-F0B6-4E7B-9568-C1FBA9EDF6AA}">
  <dimension ref="A1:D5"/>
  <sheetViews>
    <sheetView workbookViewId="0">
      <selection activeCell="C4" sqref="C4"/>
    </sheetView>
  </sheetViews>
  <sheetFormatPr defaultRowHeight="14.4" x14ac:dyDescent="0.3"/>
  <cols>
    <col min="1" max="1" width="9.5546875" customWidth="1"/>
    <col min="2" max="2" width="18.5546875" bestFit="1" customWidth="1"/>
    <col min="3" max="3" width="10.44140625" customWidth="1"/>
    <col min="4" max="4" width="13.5546875" customWidth="1"/>
  </cols>
  <sheetData>
    <row r="1" spans="1:4" x14ac:dyDescent="0.3">
      <c r="A1" s="7" t="s">
        <v>2</v>
      </c>
      <c r="B1" s="7" t="s">
        <v>29</v>
      </c>
      <c r="C1" s="7" t="s">
        <v>30</v>
      </c>
      <c r="D1" s="7" t="s">
        <v>31</v>
      </c>
    </row>
    <row r="2" spans="1:4" x14ac:dyDescent="0.3">
      <c r="A2" t="s">
        <v>16</v>
      </c>
      <c r="B2" t="s">
        <v>32</v>
      </c>
      <c r="C2" t="s">
        <v>36</v>
      </c>
      <c r="D2">
        <v>1000</v>
      </c>
    </row>
    <row r="3" spans="1:4" x14ac:dyDescent="0.3">
      <c r="A3" t="s">
        <v>11</v>
      </c>
      <c r="B3" t="s">
        <v>33</v>
      </c>
      <c r="C3" t="s">
        <v>37</v>
      </c>
      <c r="D3">
        <v>950</v>
      </c>
    </row>
    <row r="4" spans="1:4" x14ac:dyDescent="0.3">
      <c r="A4" t="s">
        <v>18</v>
      </c>
      <c r="B4" t="s">
        <v>34</v>
      </c>
      <c r="C4" t="s">
        <v>38</v>
      </c>
      <c r="D4">
        <v>900</v>
      </c>
    </row>
    <row r="5" spans="1:4" x14ac:dyDescent="0.3">
      <c r="A5" t="s">
        <v>14</v>
      </c>
      <c r="B5" t="s">
        <v>35</v>
      </c>
      <c r="C5" t="s">
        <v>38</v>
      </c>
      <c r="D5">
        <v>850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636E-5595-4E7B-A162-BB547E1E384A}">
  <dimension ref="A1:G5"/>
  <sheetViews>
    <sheetView tabSelected="1" workbookViewId="0">
      <selection activeCell="E10" sqref="E10"/>
    </sheetView>
  </sheetViews>
  <sheetFormatPr defaultRowHeight="14.4" x14ac:dyDescent="0.3"/>
  <cols>
    <col min="1" max="1" width="9.5546875" bestFit="1" customWidth="1"/>
    <col min="2" max="2" width="18.109375" bestFit="1" customWidth="1"/>
    <col min="3" max="3" width="17" bestFit="1" customWidth="1"/>
    <col min="4" max="4" width="16.5546875" bestFit="1" customWidth="1"/>
    <col min="5" max="5" width="14.6640625" bestFit="1" customWidth="1"/>
    <col min="6" max="6" width="11.88671875" bestFit="1" customWidth="1"/>
    <col min="7" max="7" width="10.6640625" style="3" bestFit="1" customWidth="1"/>
  </cols>
  <sheetData>
    <row r="1" spans="1:7" x14ac:dyDescent="0.3">
      <c r="A1" s="7" t="s">
        <v>39</v>
      </c>
      <c r="B1" s="7" t="s">
        <v>29</v>
      </c>
      <c r="C1" s="7" t="s">
        <v>40</v>
      </c>
      <c r="D1" s="7" t="s">
        <v>41</v>
      </c>
      <c r="E1" s="7" t="s">
        <v>21</v>
      </c>
      <c r="F1" s="7" t="s">
        <v>22</v>
      </c>
      <c r="G1" s="8" t="s">
        <v>24</v>
      </c>
    </row>
    <row r="2" spans="1:7" x14ac:dyDescent="0.3">
      <c r="A2" t="s">
        <v>16</v>
      </c>
      <c r="B2" t="str">
        <f>_xlfn.XLOOKUP('Product Analysis'!A2,tblProducts[Product],tblProducts[Product Name],"Not Found")</f>
        <v>Standart Component</v>
      </c>
      <c r="C2">
        <f>COUNTIF(tblProduction[Product],'Product Analysis'!A2)</f>
        <v>404</v>
      </c>
      <c r="D2">
        <f>COUNTIFS(tblProduction[Product],'Product Analysis'!A2,tblProduction[Shift],'Production Data'!$C$4)</f>
        <v>131</v>
      </c>
      <c r="E2">
        <f>SUMIF(tblProduction[Product],'Product Analysis'!A2,tblProduction[Produced_Units])</f>
        <v>354727</v>
      </c>
      <c r="F2">
        <f>SUMIF(tblProduction[Product],'Product Analysis'!A2,tblProduction[Defect_Count])</f>
        <v>9320</v>
      </c>
      <c r="G2" s="3">
        <f>$F2/$E2</f>
        <v>2.6273725992100969E-2</v>
      </c>
    </row>
    <row r="3" spans="1:7" x14ac:dyDescent="0.3">
      <c r="A3" t="s">
        <v>11</v>
      </c>
      <c r="B3" t="str">
        <f>_xlfn.XLOOKUP('Product Analysis'!A3,tblProducts[Product],tblProducts[Product Name],"Not Found")</f>
        <v>Precision Component</v>
      </c>
      <c r="C3">
        <f>COUNTIF(tblProduction[Product],'Product Analysis'!A3)</f>
        <v>413</v>
      </c>
      <c r="D3">
        <f>COUNTIFS(tblProduction[Product],'Product Analysis'!A3,tblProduction[Shift],'Production Data'!$C$4)</f>
        <v>146</v>
      </c>
      <c r="E3">
        <f>SUMIF(tblProduction[Product],'Product Analysis'!A3,tblProduction[Produced_Units])</f>
        <v>342144</v>
      </c>
      <c r="F3">
        <f>SUMIF(tblProduction[Product],'Product Analysis'!A3,tblProduction[Defect_Count])</f>
        <v>9197</v>
      </c>
      <c r="G3" s="3">
        <f t="shared" ref="G3:G5" si="0">$F3/$E3</f>
        <v>2.6880494762439207E-2</v>
      </c>
    </row>
    <row r="4" spans="1:7" x14ac:dyDescent="0.3">
      <c r="A4" t="s">
        <v>18</v>
      </c>
      <c r="B4" t="str">
        <f>_xlfn.XLOOKUP('Product Analysis'!A4,tblProducts[Product],tblProducts[Product Name],"Not Found")</f>
        <v>Mechanical Assembly</v>
      </c>
      <c r="C4">
        <f>COUNTIF(tblProduction[Product],'Product Analysis'!A4)</f>
        <v>397</v>
      </c>
      <c r="D4">
        <f>COUNTIFS(tblProduction[Product],'Product Analysis'!A4,tblProduction[Shift],'Production Data'!$C$4)</f>
        <v>129</v>
      </c>
      <c r="E4">
        <f>SUMIF(tblProduction[Product],'Product Analysis'!A4,tblProduction[Produced_Units])</f>
        <v>309871</v>
      </c>
      <c r="F4">
        <f>SUMIF(tblProduction[Product],'Product Analysis'!A4,tblProduction[Defect_Count])</f>
        <v>8440</v>
      </c>
      <c r="G4" s="3">
        <f t="shared" si="0"/>
        <v>2.7237140616579156E-2</v>
      </c>
    </row>
    <row r="5" spans="1:7" x14ac:dyDescent="0.3">
      <c r="A5" t="s">
        <v>14</v>
      </c>
      <c r="B5" t="str">
        <f>_xlfn.XLOOKUP('Product Analysis'!A5,tblProducts[Product],tblProducts[Product Name],"Not Found")</f>
        <v>Complex Assembly</v>
      </c>
      <c r="C5">
        <f>COUNTIF(tblProduction[Product],'Product Analysis'!A5)</f>
        <v>395</v>
      </c>
      <c r="D5">
        <f>COUNTIFS(tblProduction[Product],'Product Analysis'!A5,tblProduction[Shift],'Production Data'!$C$4)</f>
        <v>127</v>
      </c>
      <c r="E5">
        <f>SUMIF(tblProduction[Product],'Product Analysis'!A5,tblProduction[Produced_Units])</f>
        <v>293350</v>
      </c>
      <c r="F5">
        <f>SUMIF(tblProduction[Product],'Product Analysis'!A5,tblProduction[Defect_Count])</f>
        <v>10185</v>
      </c>
      <c r="G5" s="3">
        <f t="shared" si="0"/>
        <v>3.4719618203511167E-2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Production Data</vt:lpstr>
      <vt:lpstr>Line Analysis</vt:lpstr>
      <vt:lpstr>Pivot Analysis</vt:lpstr>
      <vt:lpstr>Product Info</vt:lpstr>
      <vt:lpstr>Product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efe tutucu</cp:lastModifiedBy>
  <dcterms:created xsi:type="dcterms:W3CDTF">2026-10-12T14:17:42Z</dcterms:created>
  <dcterms:modified xsi:type="dcterms:W3CDTF">2026-10-19T13:58:07Z</dcterms:modified>
</cp:coreProperties>
</file>